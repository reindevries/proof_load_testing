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riesrd2\OneDrive\Work - TUD\2024-08-19 Dissertation\Data\"/>
    </mc:Choice>
  </mc:AlternateContent>
  <xr:revisionPtr revIDLastSave="0" documentId="13_ncr:1_{D218ECF5-D3E8-418F-A59C-17F723675AAA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MVd H121" sheetId="16" r:id="rId1"/>
    <sheet name="MVd H401" sheetId="17" r:id="rId2"/>
    <sheet name="MVd H403" sheetId="18" r:id="rId3"/>
    <sheet name="MVd H404" sheetId="19" r:id="rId4"/>
    <sheet name="MVd H602" sheetId="6" r:id="rId5"/>
    <sheet name="H121" sheetId="12" r:id="rId6"/>
    <sheet name="H401" sheetId="13" r:id="rId7"/>
    <sheet name="H403" sheetId="10" r:id="rId8"/>
    <sheet name="H404" sheetId="11" r:id="rId9"/>
    <sheet name="H602" sheetId="14" r:id="rId10"/>
    <sheet name="Curves" sheetId="15" r:id="rId11"/>
    <sheet name="w_max" sheetId="20" r:id="rId12"/>
    <sheet name="w_max_w" sheetId="21" r:id="rId13"/>
    <sheet name="Expected" sheetId="22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1" l="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2" i="21"/>
  <c r="B8" i="22" l="1"/>
  <c r="B7" i="22"/>
  <c r="J2" i="21"/>
  <c r="D8" i="22"/>
  <c r="C8" i="22"/>
  <c r="E8" i="22"/>
  <c r="F8" i="22"/>
  <c r="G8" i="22"/>
  <c r="H8" i="22" l="1"/>
  <c r="J8" i="22" s="1"/>
  <c r="J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K8" i="22" l="1"/>
  <c r="L8" i="22" s="1"/>
  <c r="B6" i="22"/>
  <c r="B5" i="22"/>
  <c r="B3" i="22"/>
  <c r="B4" i="22" s="1"/>
  <c r="C4" i="14" l="1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3" i="14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3" i="1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3" i="10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3" i="13"/>
  <c r="C4" i="12"/>
  <c r="C5" i="12"/>
  <c r="C6" i="12"/>
  <c r="C7" i="12"/>
  <c r="C8" i="12"/>
  <c r="C9" i="12"/>
  <c r="C10" i="12"/>
  <c r="C3" i="12"/>
  <c r="D24" i="13"/>
  <c r="D25" i="13"/>
  <c r="B25" i="13"/>
  <c r="C25" i="13"/>
  <c r="A25" i="13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P47" i="14" s="1"/>
  <c r="AQ26" i="14"/>
  <c r="AR26" i="14"/>
  <c r="AS26" i="14"/>
  <c r="AT26" i="14"/>
  <c r="AU26" i="14"/>
  <c r="AV26" i="14"/>
  <c r="AW26" i="14"/>
  <c r="AX26" i="14"/>
  <c r="AY26" i="14"/>
  <c r="AZ26" i="14"/>
  <c r="BA26" i="14"/>
  <c r="BB26" i="14"/>
  <c r="BC26" i="14"/>
  <c r="BD26" i="14"/>
  <c r="BE26" i="14"/>
  <c r="BF26" i="14"/>
  <c r="BG26" i="14"/>
  <c r="BH26" i="14"/>
  <c r="BI26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AZ27" i="14"/>
  <c r="BA27" i="14"/>
  <c r="BB27" i="14"/>
  <c r="BC27" i="14"/>
  <c r="BD27" i="14"/>
  <c r="BE27" i="14"/>
  <c r="BF27" i="14"/>
  <c r="BG27" i="14"/>
  <c r="BH27" i="14"/>
  <c r="BI27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AY28" i="14"/>
  <c r="AZ28" i="14"/>
  <c r="BA28" i="14"/>
  <c r="BB28" i="14"/>
  <c r="BC28" i="14"/>
  <c r="BD28" i="14"/>
  <c r="BE28" i="14"/>
  <c r="BF28" i="14"/>
  <c r="BG28" i="14"/>
  <c r="BH28" i="14"/>
  <c r="BI28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AZ29" i="14"/>
  <c r="BA29" i="14"/>
  <c r="BB29" i="14"/>
  <c r="BC29" i="14"/>
  <c r="BD29" i="14"/>
  <c r="BE29" i="14"/>
  <c r="BF29" i="14"/>
  <c r="BG29" i="14"/>
  <c r="BH29" i="14"/>
  <c r="BI29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AN30" i="14"/>
  <c r="AO30" i="14"/>
  <c r="AP30" i="14"/>
  <c r="AQ30" i="14"/>
  <c r="AR30" i="14"/>
  <c r="AS30" i="14"/>
  <c r="AT30" i="14"/>
  <c r="AU30" i="14"/>
  <c r="AV30" i="14"/>
  <c r="AW30" i="14"/>
  <c r="AX30" i="14"/>
  <c r="AY30" i="14"/>
  <c r="AZ30" i="14"/>
  <c r="BA30" i="14"/>
  <c r="BB30" i="14"/>
  <c r="BC30" i="14"/>
  <c r="BD30" i="14"/>
  <c r="BE30" i="14"/>
  <c r="BF30" i="14"/>
  <c r="BG30" i="14"/>
  <c r="BH30" i="14"/>
  <c r="BI30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AZ31" i="14"/>
  <c r="BA31" i="14"/>
  <c r="BB31" i="14"/>
  <c r="BC31" i="14"/>
  <c r="BD31" i="14"/>
  <c r="BE31" i="14"/>
  <c r="BF31" i="14"/>
  <c r="BG31" i="14"/>
  <c r="BH31" i="14"/>
  <c r="BI31" i="14"/>
  <c r="R32" i="14"/>
  <c r="S32" i="14"/>
  <c r="T32" i="14"/>
  <c r="U32" i="14"/>
  <c r="V32" i="14"/>
  <c r="W32" i="14"/>
  <c r="X32" i="14"/>
  <c r="Y32" i="14"/>
  <c r="Z32" i="14"/>
  <c r="AA32" i="14"/>
  <c r="AB32" i="14"/>
  <c r="AC32" i="14"/>
  <c r="AD32" i="14"/>
  <c r="AE32" i="14"/>
  <c r="AF32" i="14"/>
  <c r="AG32" i="14"/>
  <c r="AH32" i="14"/>
  <c r="AI32" i="14"/>
  <c r="AJ32" i="14"/>
  <c r="AK32" i="14"/>
  <c r="AL32" i="14"/>
  <c r="AM32" i="14"/>
  <c r="AN32" i="14"/>
  <c r="AO32" i="14"/>
  <c r="AP32" i="14"/>
  <c r="AQ32" i="14"/>
  <c r="AR32" i="14"/>
  <c r="AS32" i="14"/>
  <c r="AT32" i="14"/>
  <c r="AU32" i="14"/>
  <c r="AV32" i="14"/>
  <c r="AW32" i="14"/>
  <c r="AX32" i="14"/>
  <c r="AY32" i="14"/>
  <c r="AZ32" i="14"/>
  <c r="BA32" i="14"/>
  <c r="BB32" i="14"/>
  <c r="BC32" i="14"/>
  <c r="BD32" i="14"/>
  <c r="BE32" i="14"/>
  <c r="BF32" i="14"/>
  <c r="BG32" i="14"/>
  <c r="BH32" i="14"/>
  <c r="BI32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AX33" i="14"/>
  <c r="AY33" i="14"/>
  <c r="AZ33" i="14"/>
  <c r="BA33" i="14"/>
  <c r="BB33" i="14"/>
  <c r="BC33" i="14"/>
  <c r="BD33" i="14"/>
  <c r="BE33" i="14"/>
  <c r="BF33" i="14"/>
  <c r="BG33" i="14"/>
  <c r="BH33" i="14"/>
  <c r="BI33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AF34" i="14"/>
  <c r="AG34" i="14"/>
  <c r="AH34" i="14"/>
  <c r="AI34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AX34" i="14"/>
  <c r="AY34" i="14"/>
  <c r="AZ34" i="14"/>
  <c r="BA34" i="14"/>
  <c r="BB34" i="14"/>
  <c r="BC34" i="14"/>
  <c r="BD34" i="14"/>
  <c r="BE34" i="14"/>
  <c r="BF34" i="14"/>
  <c r="BG34" i="14"/>
  <c r="BH34" i="14"/>
  <c r="BI34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AY35" i="14"/>
  <c r="AZ35" i="14"/>
  <c r="BA35" i="14"/>
  <c r="BB35" i="14"/>
  <c r="BC35" i="14"/>
  <c r="BD35" i="14"/>
  <c r="BE35" i="14"/>
  <c r="BF35" i="14"/>
  <c r="BG35" i="14"/>
  <c r="BH35" i="14"/>
  <c r="BI35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AY37" i="14"/>
  <c r="AZ37" i="14"/>
  <c r="BA37" i="14"/>
  <c r="BB37" i="14"/>
  <c r="BC37" i="14"/>
  <c r="BD37" i="14"/>
  <c r="BE37" i="14"/>
  <c r="BF37" i="14"/>
  <c r="BG37" i="14"/>
  <c r="BH37" i="14"/>
  <c r="BI37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AN38" i="14"/>
  <c r="AO38" i="14"/>
  <c r="AP38" i="14"/>
  <c r="AQ38" i="14"/>
  <c r="AR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AY40" i="14"/>
  <c r="AZ40" i="14"/>
  <c r="BA40" i="14"/>
  <c r="BB40" i="14"/>
  <c r="BC40" i="14"/>
  <c r="BD40" i="14"/>
  <c r="BE40" i="14"/>
  <c r="BF40" i="14"/>
  <c r="BG40" i="14"/>
  <c r="BH40" i="14"/>
  <c r="BI40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AY41" i="14"/>
  <c r="AZ41" i="14"/>
  <c r="BA41" i="14"/>
  <c r="BB41" i="14"/>
  <c r="BC41" i="14"/>
  <c r="BD41" i="14"/>
  <c r="BE41" i="14"/>
  <c r="BF41" i="14"/>
  <c r="BG41" i="14"/>
  <c r="BH41" i="14"/>
  <c r="BI41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AH42" i="14"/>
  <c r="AI42" i="14"/>
  <c r="AJ42" i="14"/>
  <c r="AK42" i="14"/>
  <c r="AL42" i="14"/>
  <c r="AM42" i="14"/>
  <c r="AN42" i="14"/>
  <c r="AO42" i="14"/>
  <c r="AP42" i="14"/>
  <c r="AQ42" i="14"/>
  <c r="AR42" i="14"/>
  <c r="AS42" i="14"/>
  <c r="AT42" i="14"/>
  <c r="AU42" i="14"/>
  <c r="AV42" i="14"/>
  <c r="AW42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K43" i="14"/>
  <c r="AL43" i="14"/>
  <c r="AM43" i="14"/>
  <c r="AN43" i="14"/>
  <c r="AO43" i="14"/>
  <c r="AP43" i="14"/>
  <c r="AQ43" i="14"/>
  <c r="AR43" i="14"/>
  <c r="AS43" i="14"/>
  <c r="AT43" i="14"/>
  <c r="AU43" i="14"/>
  <c r="AV43" i="14"/>
  <c r="AW43" i="14"/>
  <c r="AX43" i="14"/>
  <c r="AY43" i="14"/>
  <c r="AZ43" i="14"/>
  <c r="BA43" i="14"/>
  <c r="BB43" i="14"/>
  <c r="BC43" i="14"/>
  <c r="BD43" i="14"/>
  <c r="BE43" i="14"/>
  <c r="BF43" i="14"/>
  <c r="BG43" i="14"/>
  <c r="BH43" i="14"/>
  <c r="BI43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AL2" i="14"/>
  <c r="AM2" i="14"/>
  <c r="AN2" i="14"/>
  <c r="AO2" i="14"/>
  <c r="AP2" i="14"/>
  <c r="AQ2" i="14"/>
  <c r="AR2" i="14"/>
  <c r="AS2" i="14"/>
  <c r="AT2" i="14"/>
  <c r="AU2" i="14"/>
  <c r="AV2" i="14"/>
  <c r="AW2" i="14"/>
  <c r="AX2" i="14"/>
  <c r="AY2" i="14"/>
  <c r="AZ2" i="14"/>
  <c r="BA2" i="14"/>
  <c r="BB2" i="14"/>
  <c r="BC2" i="14"/>
  <c r="BD2" i="14"/>
  <c r="BE2" i="14"/>
  <c r="BF2" i="14"/>
  <c r="BG2" i="14"/>
  <c r="BH2" i="14"/>
  <c r="BI2" i="14"/>
  <c r="D24" i="11"/>
  <c r="B25" i="11"/>
  <c r="C25" i="11"/>
  <c r="D25" i="11"/>
  <c r="A25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AW24" i="11"/>
  <c r="AX24" i="11"/>
  <c r="AY24" i="11"/>
  <c r="AZ24" i="11"/>
  <c r="BA24" i="11"/>
  <c r="BB24" i="11"/>
  <c r="BC24" i="11"/>
  <c r="BD24" i="11"/>
  <c r="BE24" i="11"/>
  <c r="BF24" i="11"/>
  <c r="BG24" i="11"/>
  <c r="BH24" i="11"/>
  <c r="BI24" i="11"/>
  <c r="BJ24" i="11"/>
  <c r="BK24" i="11"/>
  <c r="BL24" i="11"/>
  <c r="BM24" i="11"/>
  <c r="BN24" i="11"/>
  <c r="BO24" i="11"/>
  <c r="BP24" i="11"/>
  <c r="BQ24" i="11"/>
  <c r="BR24" i="11"/>
  <c r="BS24" i="11"/>
  <c r="BT24" i="11"/>
  <c r="BU24" i="11"/>
  <c r="BV24" i="11"/>
  <c r="BW24" i="11"/>
  <c r="BX24" i="11"/>
  <c r="BY24" i="11"/>
  <c r="BZ24" i="11"/>
  <c r="CA24" i="11"/>
  <c r="CB24" i="11"/>
  <c r="CC24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AW26" i="11"/>
  <c r="AX26" i="11"/>
  <c r="AY26" i="11"/>
  <c r="AZ26" i="11"/>
  <c r="BA26" i="11"/>
  <c r="BB26" i="11"/>
  <c r="BC26" i="11"/>
  <c r="BD26" i="11"/>
  <c r="BE26" i="11"/>
  <c r="BF26" i="11"/>
  <c r="BG26" i="11"/>
  <c r="BH26" i="11"/>
  <c r="BI26" i="11"/>
  <c r="BJ26" i="11"/>
  <c r="BK26" i="11"/>
  <c r="BL26" i="11"/>
  <c r="BM26" i="11"/>
  <c r="BN26" i="11"/>
  <c r="BO26" i="11"/>
  <c r="BP26" i="11"/>
  <c r="BQ26" i="11"/>
  <c r="BR26" i="11"/>
  <c r="BS26" i="11"/>
  <c r="BT26" i="11"/>
  <c r="BU26" i="11"/>
  <c r="BV26" i="11"/>
  <c r="BW26" i="11"/>
  <c r="BX26" i="11"/>
  <c r="BY26" i="11"/>
  <c r="BZ26" i="11"/>
  <c r="CA26" i="11"/>
  <c r="CB26" i="11"/>
  <c r="CC26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AY27" i="11"/>
  <c r="AZ27" i="11"/>
  <c r="BA27" i="11"/>
  <c r="BB27" i="11"/>
  <c r="BC27" i="11"/>
  <c r="BD27" i="11"/>
  <c r="BE27" i="11"/>
  <c r="BF27" i="11"/>
  <c r="BG27" i="11"/>
  <c r="BH27" i="11"/>
  <c r="BI27" i="11"/>
  <c r="BJ27" i="11"/>
  <c r="BK27" i="11"/>
  <c r="BL27" i="11"/>
  <c r="BM27" i="11"/>
  <c r="BN27" i="11"/>
  <c r="BO27" i="11"/>
  <c r="BP27" i="11"/>
  <c r="BQ27" i="11"/>
  <c r="BR27" i="11"/>
  <c r="BS27" i="11"/>
  <c r="BT27" i="11"/>
  <c r="BU27" i="11"/>
  <c r="BV27" i="11"/>
  <c r="BW27" i="11"/>
  <c r="BX27" i="11"/>
  <c r="BY27" i="11"/>
  <c r="BZ27" i="11"/>
  <c r="CA27" i="11"/>
  <c r="CB27" i="11"/>
  <c r="CC27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W28" i="11"/>
  <c r="AX28" i="11"/>
  <c r="AY28" i="11"/>
  <c r="AZ28" i="11"/>
  <c r="BA28" i="11"/>
  <c r="BB28" i="11"/>
  <c r="BC28" i="11"/>
  <c r="BD28" i="11"/>
  <c r="BE28" i="11"/>
  <c r="BF28" i="11"/>
  <c r="BG28" i="11"/>
  <c r="BH28" i="11"/>
  <c r="BI28" i="11"/>
  <c r="BJ28" i="11"/>
  <c r="BK28" i="11"/>
  <c r="BL28" i="11"/>
  <c r="BM28" i="11"/>
  <c r="BN28" i="11"/>
  <c r="BO28" i="11"/>
  <c r="BP28" i="11"/>
  <c r="BQ28" i="11"/>
  <c r="BR28" i="11"/>
  <c r="BS28" i="11"/>
  <c r="BT28" i="11"/>
  <c r="BU28" i="11"/>
  <c r="BV28" i="11"/>
  <c r="BW28" i="11"/>
  <c r="BX28" i="11"/>
  <c r="BY28" i="11"/>
  <c r="BZ28" i="11"/>
  <c r="CA28" i="11"/>
  <c r="CB28" i="11"/>
  <c r="CC28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W29" i="11"/>
  <c r="AX29" i="11"/>
  <c r="AY29" i="11"/>
  <c r="AZ29" i="11"/>
  <c r="BA29" i="11"/>
  <c r="BB29" i="11"/>
  <c r="BC29" i="11"/>
  <c r="BD29" i="11"/>
  <c r="BE29" i="11"/>
  <c r="BF29" i="11"/>
  <c r="BG29" i="11"/>
  <c r="BH29" i="11"/>
  <c r="BI29" i="11"/>
  <c r="BJ29" i="11"/>
  <c r="BK29" i="11"/>
  <c r="BL29" i="11"/>
  <c r="BM29" i="11"/>
  <c r="BN29" i="11"/>
  <c r="BO29" i="11"/>
  <c r="BP29" i="11"/>
  <c r="BQ29" i="11"/>
  <c r="BR29" i="11"/>
  <c r="BS29" i="11"/>
  <c r="BT29" i="11"/>
  <c r="BU29" i="11"/>
  <c r="BV29" i="11"/>
  <c r="BW29" i="11"/>
  <c r="BX29" i="11"/>
  <c r="BY29" i="11"/>
  <c r="BZ29" i="11"/>
  <c r="CA29" i="11"/>
  <c r="CB29" i="11"/>
  <c r="CC29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X30" i="11"/>
  <c r="AY30" i="11"/>
  <c r="AZ30" i="11"/>
  <c r="BA30" i="11"/>
  <c r="BB30" i="11"/>
  <c r="BC30" i="11"/>
  <c r="BD30" i="11"/>
  <c r="BE30" i="11"/>
  <c r="BF30" i="11"/>
  <c r="BG30" i="11"/>
  <c r="BH30" i="11"/>
  <c r="BI30" i="11"/>
  <c r="BJ30" i="11"/>
  <c r="BK30" i="11"/>
  <c r="BL30" i="11"/>
  <c r="BM30" i="11"/>
  <c r="BN30" i="11"/>
  <c r="BO30" i="11"/>
  <c r="BP30" i="11"/>
  <c r="BQ30" i="11"/>
  <c r="BR30" i="11"/>
  <c r="BS30" i="11"/>
  <c r="BT30" i="11"/>
  <c r="BU30" i="11"/>
  <c r="BV30" i="11"/>
  <c r="BW30" i="11"/>
  <c r="BX30" i="11"/>
  <c r="BY30" i="11"/>
  <c r="BZ30" i="11"/>
  <c r="CA30" i="11"/>
  <c r="CB30" i="11"/>
  <c r="CC30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W31" i="11"/>
  <c r="AX31" i="11"/>
  <c r="AY31" i="11"/>
  <c r="AZ31" i="11"/>
  <c r="BA31" i="11"/>
  <c r="BB31" i="11"/>
  <c r="BC31" i="11"/>
  <c r="BD31" i="11"/>
  <c r="BE31" i="11"/>
  <c r="BF31" i="11"/>
  <c r="BG31" i="11"/>
  <c r="BH31" i="11"/>
  <c r="BI31" i="11"/>
  <c r="BJ31" i="11"/>
  <c r="BK31" i="11"/>
  <c r="BL31" i="11"/>
  <c r="BM31" i="11"/>
  <c r="BN31" i="11"/>
  <c r="BO31" i="11"/>
  <c r="BP31" i="11"/>
  <c r="BQ31" i="11"/>
  <c r="BR31" i="11"/>
  <c r="BS31" i="11"/>
  <c r="BT31" i="11"/>
  <c r="BU31" i="11"/>
  <c r="BV31" i="11"/>
  <c r="BW31" i="11"/>
  <c r="BX31" i="11"/>
  <c r="BY31" i="11"/>
  <c r="BZ31" i="11"/>
  <c r="CA31" i="11"/>
  <c r="CB31" i="11"/>
  <c r="CC31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BQ32" i="11"/>
  <c r="BR32" i="11"/>
  <c r="BS32" i="11"/>
  <c r="BT32" i="11"/>
  <c r="BU32" i="11"/>
  <c r="BV32" i="11"/>
  <c r="BW32" i="11"/>
  <c r="BX32" i="11"/>
  <c r="BY32" i="11"/>
  <c r="BZ32" i="11"/>
  <c r="CA32" i="11"/>
  <c r="CB32" i="11"/>
  <c r="CC32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BQ33" i="11"/>
  <c r="BR33" i="11"/>
  <c r="BS33" i="11"/>
  <c r="BT33" i="11"/>
  <c r="BU33" i="11"/>
  <c r="BV33" i="11"/>
  <c r="BW33" i="11"/>
  <c r="BX33" i="11"/>
  <c r="BY33" i="11"/>
  <c r="BZ33" i="11"/>
  <c r="CA33" i="11"/>
  <c r="CB33" i="11"/>
  <c r="CC33" i="11"/>
  <c r="Y34" i="11"/>
  <c r="Z34" i="11"/>
  <c r="AA34" i="11"/>
  <c r="AB34" i="11"/>
  <c r="AC34" i="11"/>
  <c r="AD34" i="11"/>
  <c r="AE34" i="11"/>
  <c r="AF34" i="11"/>
  <c r="AG34" i="11"/>
  <c r="AH34" i="11"/>
  <c r="AI34" i="11"/>
  <c r="AJ34" i="11"/>
  <c r="AK34" i="11"/>
  <c r="AL34" i="11"/>
  <c r="AM34" i="11"/>
  <c r="AN34" i="11"/>
  <c r="AO34" i="11"/>
  <c r="AP34" i="11"/>
  <c r="AQ34" i="11"/>
  <c r="AR34" i="11"/>
  <c r="AS34" i="11"/>
  <c r="AT34" i="11"/>
  <c r="AU34" i="11"/>
  <c r="AV34" i="11"/>
  <c r="AW34" i="11"/>
  <c r="AX34" i="11"/>
  <c r="AY34" i="11"/>
  <c r="AZ34" i="11"/>
  <c r="BA34" i="11"/>
  <c r="BB34" i="11"/>
  <c r="BC34" i="11"/>
  <c r="BD34" i="11"/>
  <c r="BE34" i="11"/>
  <c r="BF34" i="11"/>
  <c r="BG34" i="11"/>
  <c r="BH34" i="11"/>
  <c r="BI34" i="11"/>
  <c r="BJ34" i="11"/>
  <c r="BK34" i="11"/>
  <c r="BL34" i="11"/>
  <c r="BM34" i="11"/>
  <c r="BN34" i="11"/>
  <c r="BO34" i="11"/>
  <c r="BP34" i="11"/>
  <c r="BQ34" i="11"/>
  <c r="BR34" i="11"/>
  <c r="BS34" i="11"/>
  <c r="BT34" i="11"/>
  <c r="BU34" i="11"/>
  <c r="BV34" i="11"/>
  <c r="BW34" i="11"/>
  <c r="BX34" i="11"/>
  <c r="BY34" i="11"/>
  <c r="BZ34" i="11"/>
  <c r="CA34" i="11"/>
  <c r="CB34" i="11"/>
  <c r="CC34" i="11"/>
  <c r="Y35" i="11"/>
  <c r="Z35" i="11"/>
  <c r="AA35" i="11"/>
  <c r="AB35" i="11"/>
  <c r="AC35" i="11"/>
  <c r="AD35" i="11"/>
  <c r="AE35" i="11"/>
  <c r="AF35" i="11"/>
  <c r="AG35" i="11"/>
  <c r="AH35" i="11"/>
  <c r="AI35" i="11"/>
  <c r="AJ35" i="11"/>
  <c r="AK35" i="11"/>
  <c r="AL35" i="11"/>
  <c r="AM35" i="11"/>
  <c r="AN35" i="11"/>
  <c r="AO35" i="11"/>
  <c r="AP35" i="11"/>
  <c r="AQ35" i="11"/>
  <c r="AR35" i="11"/>
  <c r="AS35" i="11"/>
  <c r="AT35" i="11"/>
  <c r="AU35" i="11"/>
  <c r="AV35" i="11"/>
  <c r="AW35" i="11"/>
  <c r="AX35" i="11"/>
  <c r="AY35" i="11"/>
  <c r="AZ35" i="11"/>
  <c r="BA35" i="11"/>
  <c r="BB35" i="11"/>
  <c r="BC35" i="11"/>
  <c r="BD35" i="11"/>
  <c r="BE35" i="11"/>
  <c r="BF35" i="11"/>
  <c r="BG35" i="11"/>
  <c r="BH35" i="11"/>
  <c r="BI35" i="11"/>
  <c r="BJ35" i="11"/>
  <c r="BK35" i="11"/>
  <c r="BL35" i="11"/>
  <c r="BM35" i="11"/>
  <c r="BN35" i="11"/>
  <c r="BO35" i="11"/>
  <c r="BP35" i="11"/>
  <c r="BQ35" i="11"/>
  <c r="BR35" i="11"/>
  <c r="BS35" i="11"/>
  <c r="BT35" i="11"/>
  <c r="BU35" i="11"/>
  <c r="BV35" i="11"/>
  <c r="BW35" i="11"/>
  <c r="BX35" i="11"/>
  <c r="BY35" i="11"/>
  <c r="BZ35" i="11"/>
  <c r="CA35" i="11"/>
  <c r="CB35" i="11"/>
  <c r="CC35" i="11"/>
  <c r="Y36" i="11"/>
  <c r="Z36" i="11"/>
  <c r="AA36" i="11"/>
  <c r="AB36" i="11"/>
  <c r="AC36" i="11"/>
  <c r="AD36" i="11"/>
  <c r="AE36" i="11"/>
  <c r="AF36" i="11"/>
  <c r="AG36" i="11"/>
  <c r="AH36" i="11"/>
  <c r="AI36" i="11"/>
  <c r="AJ36" i="11"/>
  <c r="AK36" i="11"/>
  <c r="AL36" i="11"/>
  <c r="AM36" i="11"/>
  <c r="AN36" i="11"/>
  <c r="AO36" i="11"/>
  <c r="AP36" i="11"/>
  <c r="AQ36" i="11"/>
  <c r="AR36" i="11"/>
  <c r="AS36" i="11"/>
  <c r="AT36" i="11"/>
  <c r="AU36" i="11"/>
  <c r="AV36" i="11"/>
  <c r="AW36" i="11"/>
  <c r="AX36" i="11"/>
  <c r="AY36" i="11"/>
  <c r="AZ36" i="11"/>
  <c r="BA36" i="11"/>
  <c r="BB36" i="11"/>
  <c r="BC36" i="11"/>
  <c r="BD36" i="11"/>
  <c r="BE36" i="11"/>
  <c r="BF36" i="11"/>
  <c r="BG36" i="11"/>
  <c r="BH36" i="11"/>
  <c r="BI36" i="11"/>
  <c r="BJ36" i="11"/>
  <c r="BK36" i="11"/>
  <c r="BL36" i="11"/>
  <c r="BM36" i="11"/>
  <c r="BN36" i="11"/>
  <c r="BO36" i="11"/>
  <c r="BP36" i="11"/>
  <c r="BQ36" i="11"/>
  <c r="BR36" i="11"/>
  <c r="BS36" i="11"/>
  <c r="BT36" i="11"/>
  <c r="BU36" i="11"/>
  <c r="BV36" i="11"/>
  <c r="BW36" i="11"/>
  <c r="BX36" i="11"/>
  <c r="BY36" i="11"/>
  <c r="BZ36" i="11"/>
  <c r="CA36" i="11"/>
  <c r="CB36" i="11"/>
  <c r="CC36" i="11"/>
  <c r="Y37" i="11"/>
  <c r="Z37" i="11"/>
  <c r="AA37" i="11"/>
  <c r="AB37" i="11"/>
  <c r="AC37" i="11"/>
  <c r="AD37" i="11"/>
  <c r="AE37" i="11"/>
  <c r="AF37" i="11"/>
  <c r="AG37" i="11"/>
  <c r="AH37" i="11"/>
  <c r="AI37" i="11"/>
  <c r="AJ37" i="11"/>
  <c r="AK37" i="11"/>
  <c r="AL37" i="11"/>
  <c r="AM37" i="11"/>
  <c r="AN37" i="11"/>
  <c r="AO37" i="11"/>
  <c r="AP37" i="11"/>
  <c r="AQ37" i="11"/>
  <c r="AR37" i="11"/>
  <c r="AS37" i="11"/>
  <c r="AT37" i="11"/>
  <c r="AU37" i="11"/>
  <c r="AV37" i="11"/>
  <c r="AW37" i="11"/>
  <c r="AX37" i="11"/>
  <c r="AY37" i="11"/>
  <c r="AZ37" i="11"/>
  <c r="BA37" i="11"/>
  <c r="BB37" i="11"/>
  <c r="BC37" i="11"/>
  <c r="BD37" i="11"/>
  <c r="BE37" i="11"/>
  <c r="BF37" i="11"/>
  <c r="BG37" i="11"/>
  <c r="BH37" i="11"/>
  <c r="BI37" i="11"/>
  <c r="BJ37" i="11"/>
  <c r="BK37" i="11"/>
  <c r="BL37" i="11"/>
  <c r="BM37" i="11"/>
  <c r="BN37" i="11"/>
  <c r="BO37" i="11"/>
  <c r="BP37" i="11"/>
  <c r="BQ37" i="11"/>
  <c r="BR37" i="11"/>
  <c r="BS37" i="11"/>
  <c r="BT37" i="11"/>
  <c r="BU37" i="11"/>
  <c r="BV37" i="11"/>
  <c r="BW37" i="11"/>
  <c r="BX37" i="11"/>
  <c r="BY37" i="11"/>
  <c r="BZ37" i="11"/>
  <c r="CA37" i="11"/>
  <c r="CB37" i="11"/>
  <c r="CC37" i="11"/>
  <c r="Y38" i="11"/>
  <c r="Z38" i="11"/>
  <c r="AA38" i="11"/>
  <c r="AB38" i="11"/>
  <c r="AC38" i="11"/>
  <c r="AD38" i="11"/>
  <c r="AE38" i="11"/>
  <c r="AF38" i="11"/>
  <c r="AG38" i="11"/>
  <c r="AH38" i="11"/>
  <c r="AI38" i="11"/>
  <c r="AJ38" i="11"/>
  <c r="AK38" i="11"/>
  <c r="AL38" i="11"/>
  <c r="AM38" i="11"/>
  <c r="AN38" i="11"/>
  <c r="AO38" i="11"/>
  <c r="AP38" i="11"/>
  <c r="AQ38" i="11"/>
  <c r="AR38" i="11"/>
  <c r="AS38" i="11"/>
  <c r="AT38" i="11"/>
  <c r="AU38" i="11"/>
  <c r="AV38" i="11"/>
  <c r="AW38" i="11"/>
  <c r="AX38" i="11"/>
  <c r="AY38" i="11"/>
  <c r="AZ38" i="11"/>
  <c r="BA38" i="11"/>
  <c r="BB38" i="11"/>
  <c r="BC38" i="11"/>
  <c r="BD38" i="11"/>
  <c r="BE38" i="11"/>
  <c r="BF38" i="11"/>
  <c r="BG38" i="11"/>
  <c r="BH38" i="11"/>
  <c r="BI38" i="11"/>
  <c r="BJ38" i="11"/>
  <c r="BK38" i="11"/>
  <c r="BL38" i="11"/>
  <c r="BM38" i="11"/>
  <c r="BN38" i="11"/>
  <c r="BO38" i="11"/>
  <c r="BP38" i="11"/>
  <c r="BQ38" i="11"/>
  <c r="BR38" i="11"/>
  <c r="BS38" i="11"/>
  <c r="BT38" i="11"/>
  <c r="BU38" i="11"/>
  <c r="BV38" i="11"/>
  <c r="BW38" i="11"/>
  <c r="BX38" i="11"/>
  <c r="BY38" i="11"/>
  <c r="BZ38" i="11"/>
  <c r="CA38" i="11"/>
  <c r="CB38" i="11"/>
  <c r="CC38" i="11"/>
  <c r="Y39" i="11"/>
  <c r="Z39" i="11"/>
  <c r="AA39" i="11"/>
  <c r="AB39" i="11"/>
  <c r="AC39" i="11"/>
  <c r="AD39" i="11"/>
  <c r="AE39" i="11"/>
  <c r="AF39" i="11"/>
  <c r="AG39" i="11"/>
  <c r="AH39" i="11"/>
  <c r="AI39" i="11"/>
  <c r="AJ39" i="11"/>
  <c r="AK39" i="11"/>
  <c r="AL39" i="11"/>
  <c r="AM39" i="11"/>
  <c r="AN39" i="11"/>
  <c r="AO39" i="11"/>
  <c r="AP39" i="11"/>
  <c r="AQ39" i="11"/>
  <c r="AR39" i="11"/>
  <c r="AS39" i="11"/>
  <c r="AT39" i="11"/>
  <c r="AU39" i="11"/>
  <c r="AV39" i="11"/>
  <c r="AW39" i="11"/>
  <c r="AX39" i="11"/>
  <c r="AY39" i="11"/>
  <c r="AZ39" i="11"/>
  <c r="BA39" i="11"/>
  <c r="BB39" i="11"/>
  <c r="BC39" i="11"/>
  <c r="BD39" i="11"/>
  <c r="BE39" i="11"/>
  <c r="BF39" i="11"/>
  <c r="BG39" i="11"/>
  <c r="BH39" i="11"/>
  <c r="BI39" i="11"/>
  <c r="BJ39" i="11"/>
  <c r="BK39" i="11"/>
  <c r="BL39" i="11"/>
  <c r="BM39" i="11"/>
  <c r="BN39" i="11"/>
  <c r="BO39" i="11"/>
  <c r="BP39" i="11"/>
  <c r="BQ39" i="11"/>
  <c r="BR39" i="11"/>
  <c r="BS39" i="11"/>
  <c r="BT39" i="11"/>
  <c r="BU39" i="11"/>
  <c r="BV39" i="11"/>
  <c r="BW39" i="11"/>
  <c r="BX39" i="11"/>
  <c r="BY39" i="11"/>
  <c r="BZ39" i="11"/>
  <c r="CA39" i="11"/>
  <c r="CB39" i="11"/>
  <c r="CC39" i="11"/>
  <c r="Y40" i="11"/>
  <c r="Z40" i="11"/>
  <c r="AA40" i="11"/>
  <c r="AB40" i="11"/>
  <c r="AC40" i="11"/>
  <c r="AD40" i="11"/>
  <c r="AE40" i="11"/>
  <c r="AF40" i="11"/>
  <c r="AG40" i="11"/>
  <c r="AH40" i="11"/>
  <c r="AI40" i="11"/>
  <c r="AJ40" i="11"/>
  <c r="AK40" i="11"/>
  <c r="AL40" i="11"/>
  <c r="AM40" i="11"/>
  <c r="AN40" i="11"/>
  <c r="AO40" i="11"/>
  <c r="AP40" i="11"/>
  <c r="AQ40" i="11"/>
  <c r="AR40" i="11"/>
  <c r="AS40" i="11"/>
  <c r="AT40" i="11"/>
  <c r="AU40" i="11"/>
  <c r="AV40" i="11"/>
  <c r="AW40" i="11"/>
  <c r="AX40" i="11"/>
  <c r="AY40" i="11"/>
  <c r="AZ40" i="11"/>
  <c r="BA40" i="11"/>
  <c r="BB40" i="11"/>
  <c r="BC40" i="11"/>
  <c r="BD40" i="11"/>
  <c r="BE40" i="11"/>
  <c r="BF40" i="11"/>
  <c r="BG40" i="11"/>
  <c r="BH40" i="11"/>
  <c r="BI40" i="11"/>
  <c r="BJ40" i="11"/>
  <c r="BK40" i="11"/>
  <c r="BL40" i="11"/>
  <c r="BM40" i="11"/>
  <c r="BN40" i="11"/>
  <c r="BO40" i="11"/>
  <c r="BP40" i="11"/>
  <c r="BQ40" i="11"/>
  <c r="BR40" i="11"/>
  <c r="BS40" i="11"/>
  <c r="BT40" i="11"/>
  <c r="BU40" i="11"/>
  <c r="BV40" i="11"/>
  <c r="BW40" i="11"/>
  <c r="BX40" i="11"/>
  <c r="BY40" i="11"/>
  <c r="BZ40" i="11"/>
  <c r="CA40" i="11"/>
  <c r="CB40" i="11"/>
  <c r="CC40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C2" i="11"/>
  <c r="AD2" i="11"/>
  <c r="AE2" i="11"/>
  <c r="AF2" i="11"/>
  <c r="AG2" i="11"/>
  <c r="AH2" i="11"/>
  <c r="AI2" i="11"/>
  <c r="AJ2" i="11"/>
  <c r="AK2" i="11"/>
  <c r="AL2" i="11"/>
  <c r="AM2" i="11"/>
  <c r="AN2" i="11"/>
  <c r="AO2" i="11"/>
  <c r="AP2" i="11"/>
  <c r="AQ2" i="11"/>
  <c r="AR2" i="11"/>
  <c r="AS2" i="11"/>
  <c r="AT2" i="11"/>
  <c r="AU2" i="11"/>
  <c r="AV2" i="11"/>
  <c r="AW2" i="11"/>
  <c r="AX2" i="11"/>
  <c r="AY2" i="11"/>
  <c r="AZ2" i="11"/>
  <c r="BA2" i="11"/>
  <c r="BB2" i="11"/>
  <c r="BC2" i="11"/>
  <c r="BD2" i="11"/>
  <c r="BE2" i="11"/>
  <c r="BF2" i="11"/>
  <c r="BG2" i="11"/>
  <c r="BH2" i="11"/>
  <c r="BI2" i="11"/>
  <c r="BJ2" i="11"/>
  <c r="BK2" i="11"/>
  <c r="BL2" i="11"/>
  <c r="BM2" i="11"/>
  <c r="BN2" i="11"/>
  <c r="BO2" i="11"/>
  <c r="BP2" i="11"/>
  <c r="BQ2" i="11"/>
  <c r="BR2" i="11"/>
  <c r="BS2" i="11"/>
  <c r="BT2" i="11"/>
  <c r="BU2" i="11"/>
  <c r="BV2" i="11"/>
  <c r="BW2" i="11"/>
  <c r="BX2" i="11"/>
  <c r="BY2" i="11"/>
  <c r="BZ2" i="11"/>
  <c r="CA2" i="11"/>
  <c r="CB2" i="11"/>
  <c r="CC2" i="11"/>
  <c r="D24" i="10"/>
  <c r="B25" i="10"/>
  <c r="C25" i="10"/>
  <c r="D25" i="10"/>
  <c r="A25" i="10"/>
  <c r="AB2" i="10"/>
  <c r="AC2" i="10"/>
  <c r="AD2" i="10"/>
  <c r="AE2" i="10"/>
  <c r="AF2" i="10"/>
  <c r="AG2" i="10"/>
  <c r="AH2" i="10"/>
  <c r="AI2" i="10"/>
  <c r="AJ2" i="10"/>
  <c r="AK2" i="10"/>
  <c r="AL2" i="10"/>
  <c r="AM2" i="10"/>
  <c r="AN2" i="10"/>
  <c r="AO2" i="10"/>
  <c r="AP2" i="10"/>
  <c r="AQ2" i="10"/>
  <c r="AR2" i="10"/>
  <c r="AS2" i="10"/>
  <c r="AT2" i="10"/>
  <c r="AU2" i="10"/>
  <c r="AV2" i="10"/>
  <c r="AW2" i="10"/>
  <c r="AX2" i="10"/>
  <c r="AY2" i="10"/>
  <c r="AZ2" i="10"/>
  <c r="BA2" i="10"/>
  <c r="BB2" i="10"/>
  <c r="BC2" i="10"/>
  <c r="BD2" i="10"/>
  <c r="BE2" i="10"/>
  <c r="BF2" i="10"/>
  <c r="BG2" i="10"/>
  <c r="BH2" i="10"/>
  <c r="BI2" i="10"/>
  <c r="BJ2" i="10"/>
  <c r="BK2" i="10"/>
  <c r="BL2" i="10"/>
  <c r="BM2" i="10"/>
  <c r="BN2" i="10"/>
  <c r="BO2" i="10"/>
  <c r="BP2" i="10"/>
  <c r="BQ2" i="10"/>
  <c r="BR2" i="10"/>
  <c r="BS2" i="10"/>
  <c r="BT2" i="10"/>
  <c r="BU2" i="10"/>
  <c r="BV2" i="10"/>
  <c r="BW2" i="10"/>
  <c r="BX2" i="10"/>
  <c r="BY2" i="10"/>
  <c r="BZ2" i="10"/>
  <c r="CA2" i="10"/>
  <c r="CB2" i="10"/>
  <c r="CC2" i="10"/>
  <c r="CD2" i="10"/>
  <c r="CE2" i="10"/>
  <c r="CF2" i="10"/>
  <c r="CG2" i="10"/>
  <c r="CH2" i="10"/>
  <c r="CI2" i="10"/>
  <c r="CJ2" i="10"/>
  <c r="CK2" i="10"/>
  <c r="CL2" i="10"/>
  <c r="CM2" i="10"/>
  <c r="CN2" i="10"/>
  <c r="CO2" i="10"/>
  <c r="CP2" i="10"/>
  <c r="CQ2" i="10"/>
  <c r="CQ29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BD24" i="10"/>
  <c r="BE24" i="10"/>
  <c r="BF24" i="10"/>
  <c r="BG24" i="10"/>
  <c r="BH24" i="10"/>
  <c r="BI24" i="10"/>
  <c r="BJ24" i="10"/>
  <c r="BK24" i="10"/>
  <c r="BL24" i="10"/>
  <c r="BM24" i="10"/>
  <c r="BN24" i="10"/>
  <c r="BO24" i="10"/>
  <c r="BP24" i="10"/>
  <c r="BQ24" i="10"/>
  <c r="BR24" i="10"/>
  <c r="BS24" i="10"/>
  <c r="BT24" i="10"/>
  <c r="BU24" i="10"/>
  <c r="BV24" i="10"/>
  <c r="BW24" i="10"/>
  <c r="BX24" i="10"/>
  <c r="BY24" i="10"/>
  <c r="BZ24" i="10"/>
  <c r="CA24" i="10"/>
  <c r="CB24" i="10"/>
  <c r="CC24" i="10"/>
  <c r="CD24" i="10"/>
  <c r="CE24" i="10"/>
  <c r="CF24" i="10"/>
  <c r="CG24" i="10"/>
  <c r="CH24" i="10"/>
  <c r="CI24" i="10"/>
  <c r="CJ24" i="10"/>
  <c r="CK24" i="10"/>
  <c r="CL24" i="10"/>
  <c r="CM24" i="10"/>
  <c r="CN24" i="10"/>
  <c r="CO24" i="10"/>
  <c r="CP24" i="10"/>
  <c r="CQ24" i="10"/>
  <c r="AB26" i="10"/>
  <c r="AC26" i="10"/>
  <c r="AD26" i="10"/>
  <c r="AE26" i="10"/>
  <c r="AF26" i="10"/>
  <c r="AG26" i="10"/>
  <c r="AH26" i="10"/>
  <c r="AI26" i="10"/>
  <c r="AJ26" i="10"/>
  <c r="AK26" i="10"/>
  <c r="AL26" i="10"/>
  <c r="AM26" i="10"/>
  <c r="AN26" i="10"/>
  <c r="AO26" i="10"/>
  <c r="AP26" i="10"/>
  <c r="AQ26" i="10"/>
  <c r="AR26" i="10"/>
  <c r="AS26" i="10"/>
  <c r="AT26" i="10"/>
  <c r="AU26" i="10"/>
  <c r="AV26" i="10"/>
  <c r="AW26" i="10"/>
  <c r="AX26" i="10"/>
  <c r="AY26" i="10"/>
  <c r="AZ26" i="10"/>
  <c r="BA26" i="10"/>
  <c r="BB26" i="10"/>
  <c r="BC26" i="10"/>
  <c r="BD26" i="10"/>
  <c r="BE26" i="10"/>
  <c r="BF26" i="10"/>
  <c r="BG26" i="10"/>
  <c r="BH26" i="10"/>
  <c r="BI26" i="10"/>
  <c r="BJ26" i="10"/>
  <c r="BK26" i="10"/>
  <c r="BL26" i="10"/>
  <c r="BM26" i="10"/>
  <c r="BN26" i="10"/>
  <c r="BO26" i="10"/>
  <c r="BP26" i="10"/>
  <c r="BQ26" i="10"/>
  <c r="BR26" i="10"/>
  <c r="BS26" i="10"/>
  <c r="BT26" i="10"/>
  <c r="BU26" i="10"/>
  <c r="BV26" i="10"/>
  <c r="BW26" i="10"/>
  <c r="BX26" i="10"/>
  <c r="BY26" i="10"/>
  <c r="BZ26" i="10"/>
  <c r="CA26" i="10"/>
  <c r="CB26" i="10"/>
  <c r="CC26" i="10"/>
  <c r="CD26" i="10"/>
  <c r="CE26" i="10"/>
  <c r="CF26" i="10"/>
  <c r="CG26" i="10"/>
  <c r="CH26" i="10"/>
  <c r="CI26" i="10"/>
  <c r="CJ26" i="10"/>
  <c r="CK26" i="10"/>
  <c r="CL26" i="10"/>
  <c r="CM26" i="10"/>
  <c r="CN26" i="10"/>
  <c r="CO26" i="10"/>
  <c r="CP26" i="10"/>
  <c r="CQ26" i="10"/>
  <c r="AB27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AR27" i="10"/>
  <c r="AS27" i="10"/>
  <c r="AT27" i="10"/>
  <c r="AU27" i="10"/>
  <c r="AV27" i="10"/>
  <c r="AW27" i="10"/>
  <c r="AX27" i="10"/>
  <c r="AY27" i="10"/>
  <c r="AZ27" i="10"/>
  <c r="BA27" i="10"/>
  <c r="BB27" i="10"/>
  <c r="BC27" i="10"/>
  <c r="BD27" i="10"/>
  <c r="BE27" i="10"/>
  <c r="BF27" i="10"/>
  <c r="BG27" i="10"/>
  <c r="BH27" i="10"/>
  <c r="BI27" i="10"/>
  <c r="BJ27" i="10"/>
  <c r="BK27" i="10"/>
  <c r="BL27" i="10"/>
  <c r="BM27" i="10"/>
  <c r="BN27" i="10"/>
  <c r="BO27" i="10"/>
  <c r="BP27" i="10"/>
  <c r="BQ27" i="10"/>
  <c r="BR27" i="10"/>
  <c r="BS27" i="10"/>
  <c r="BT27" i="10"/>
  <c r="BU27" i="10"/>
  <c r="BV27" i="10"/>
  <c r="BW27" i="10"/>
  <c r="BX27" i="10"/>
  <c r="BY27" i="10"/>
  <c r="BZ27" i="10"/>
  <c r="CA27" i="10"/>
  <c r="CB27" i="10"/>
  <c r="CC27" i="10"/>
  <c r="CD27" i="10"/>
  <c r="CE27" i="10"/>
  <c r="CF27" i="10"/>
  <c r="CG27" i="10"/>
  <c r="CH27" i="10"/>
  <c r="CI27" i="10"/>
  <c r="CJ27" i="10"/>
  <c r="CK27" i="10"/>
  <c r="CL27" i="10"/>
  <c r="CM27" i="10"/>
  <c r="CN27" i="10"/>
  <c r="CO27" i="10"/>
  <c r="CP27" i="10"/>
  <c r="CQ27" i="10"/>
  <c r="AB28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AX28" i="10"/>
  <c r="AY28" i="10"/>
  <c r="AZ28" i="10"/>
  <c r="BA28" i="10"/>
  <c r="BB28" i="10"/>
  <c r="BC28" i="10"/>
  <c r="BD28" i="10"/>
  <c r="BE28" i="10"/>
  <c r="BF28" i="10"/>
  <c r="BG28" i="10"/>
  <c r="BH28" i="10"/>
  <c r="BI28" i="10"/>
  <c r="BJ28" i="10"/>
  <c r="BK28" i="10"/>
  <c r="BL28" i="10"/>
  <c r="BM28" i="10"/>
  <c r="BN28" i="10"/>
  <c r="BO28" i="10"/>
  <c r="BP28" i="10"/>
  <c r="BQ28" i="10"/>
  <c r="BR28" i="10"/>
  <c r="BS28" i="10"/>
  <c r="BT28" i="10"/>
  <c r="BU28" i="10"/>
  <c r="BV28" i="10"/>
  <c r="BW28" i="10"/>
  <c r="BX28" i="10"/>
  <c r="BY28" i="10"/>
  <c r="BZ28" i="10"/>
  <c r="CA28" i="10"/>
  <c r="CB28" i="10"/>
  <c r="CC28" i="10"/>
  <c r="CD28" i="10"/>
  <c r="CE28" i="10"/>
  <c r="CF28" i="10"/>
  <c r="CG28" i="10"/>
  <c r="CH28" i="10"/>
  <c r="CI28" i="10"/>
  <c r="CJ28" i="10"/>
  <c r="CK28" i="10"/>
  <c r="CL28" i="10"/>
  <c r="CM28" i="10"/>
  <c r="CN28" i="10"/>
  <c r="CO28" i="10"/>
  <c r="CP28" i="10"/>
  <c r="CQ28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BI29" i="10"/>
  <c r="BJ29" i="10"/>
  <c r="BK29" i="10"/>
  <c r="BL29" i="10"/>
  <c r="BM29" i="10"/>
  <c r="BN29" i="10"/>
  <c r="BO29" i="10"/>
  <c r="BP29" i="10"/>
  <c r="BQ29" i="10"/>
  <c r="BR29" i="10"/>
  <c r="BS29" i="10"/>
  <c r="BT29" i="10"/>
  <c r="BU29" i="10"/>
  <c r="BV29" i="10"/>
  <c r="BW29" i="10"/>
  <c r="BX29" i="10"/>
  <c r="BY29" i="10"/>
  <c r="BZ29" i="10"/>
  <c r="CA29" i="10"/>
  <c r="CB29" i="10"/>
  <c r="CC29" i="10"/>
  <c r="CD29" i="10"/>
  <c r="CE29" i="10"/>
  <c r="CF29" i="10"/>
  <c r="CG29" i="10"/>
  <c r="CH29" i="10"/>
  <c r="CI29" i="10"/>
  <c r="CJ29" i="10"/>
  <c r="CK29" i="10"/>
  <c r="CL29" i="10"/>
  <c r="CM29" i="10"/>
  <c r="CN29" i="10"/>
  <c r="CO29" i="10"/>
  <c r="CP29" i="10"/>
  <c r="AB30" i="10"/>
  <c r="AC30" i="10"/>
  <c r="AD30" i="10"/>
  <c r="AE30" i="10"/>
  <c r="AF30" i="10"/>
  <c r="AG30" i="10"/>
  <c r="AH30" i="10"/>
  <c r="AI30" i="10"/>
  <c r="AJ30" i="10"/>
  <c r="AK30" i="10"/>
  <c r="AL30" i="10"/>
  <c r="AM30" i="10"/>
  <c r="AN30" i="10"/>
  <c r="AO30" i="10"/>
  <c r="AP30" i="10"/>
  <c r="AQ30" i="10"/>
  <c r="AR30" i="10"/>
  <c r="AS30" i="10"/>
  <c r="AT30" i="10"/>
  <c r="AU30" i="10"/>
  <c r="AV30" i="10"/>
  <c r="AW30" i="10"/>
  <c r="AX30" i="10"/>
  <c r="AY30" i="10"/>
  <c r="AZ30" i="10"/>
  <c r="BA30" i="10"/>
  <c r="BB30" i="10"/>
  <c r="BC30" i="10"/>
  <c r="BD30" i="10"/>
  <c r="BE30" i="10"/>
  <c r="BF30" i="10"/>
  <c r="BG30" i="10"/>
  <c r="BH30" i="10"/>
  <c r="BI30" i="10"/>
  <c r="BJ30" i="10"/>
  <c r="BK30" i="10"/>
  <c r="BL30" i="10"/>
  <c r="BM30" i="10"/>
  <c r="BN30" i="10"/>
  <c r="BO30" i="10"/>
  <c r="BP30" i="10"/>
  <c r="BQ30" i="10"/>
  <c r="BR30" i="10"/>
  <c r="BS30" i="10"/>
  <c r="BT30" i="10"/>
  <c r="BU30" i="10"/>
  <c r="BV30" i="10"/>
  <c r="BW30" i="10"/>
  <c r="BX30" i="10"/>
  <c r="BY30" i="10"/>
  <c r="BZ30" i="10"/>
  <c r="CA30" i="10"/>
  <c r="CB30" i="10"/>
  <c r="CC30" i="10"/>
  <c r="CD30" i="10"/>
  <c r="CE30" i="10"/>
  <c r="CF30" i="10"/>
  <c r="CG30" i="10"/>
  <c r="CH30" i="10"/>
  <c r="CI30" i="10"/>
  <c r="CJ30" i="10"/>
  <c r="CK30" i="10"/>
  <c r="CL30" i="10"/>
  <c r="CM30" i="10"/>
  <c r="CN30" i="10"/>
  <c r="CO30" i="10"/>
  <c r="CP30" i="10"/>
  <c r="CQ30" i="10"/>
  <c r="AB31" i="10"/>
  <c r="AC31" i="10"/>
  <c r="AD31" i="10"/>
  <c r="AE31" i="10"/>
  <c r="AF31" i="10"/>
  <c r="AG31" i="10"/>
  <c r="AH31" i="10"/>
  <c r="AI31" i="10"/>
  <c r="AJ31" i="10"/>
  <c r="AK31" i="10"/>
  <c r="AL31" i="10"/>
  <c r="AM31" i="10"/>
  <c r="AN31" i="10"/>
  <c r="AO31" i="10"/>
  <c r="AP31" i="10"/>
  <c r="AQ31" i="10"/>
  <c r="AR31" i="10"/>
  <c r="AS31" i="10"/>
  <c r="AT31" i="10"/>
  <c r="AU31" i="10"/>
  <c r="AV31" i="10"/>
  <c r="AW31" i="10"/>
  <c r="AX31" i="10"/>
  <c r="AY31" i="10"/>
  <c r="AZ31" i="10"/>
  <c r="BA31" i="10"/>
  <c r="BB31" i="10"/>
  <c r="BC31" i="10"/>
  <c r="BD31" i="10"/>
  <c r="BE31" i="10"/>
  <c r="BF31" i="10"/>
  <c r="BG31" i="10"/>
  <c r="BH31" i="10"/>
  <c r="BI31" i="10"/>
  <c r="BJ31" i="10"/>
  <c r="BK31" i="10"/>
  <c r="BL31" i="10"/>
  <c r="BM31" i="10"/>
  <c r="BN31" i="10"/>
  <c r="BO31" i="10"/>
  <c r="BP31" i="10"/>
  <c r="BQ31" i="10"/>
  <c r="BR31" i="10"/>
  <c r="BS31" i="10"/>
  <c r="BT31" i="10"/>
  <c r="BU31" i="10"/>
  <c r="BV31" i="10"/>
  <c r="BW31" i="10"/>
  <c r="BX31" i="10"/>
  <c r="BY31" i="10"/>
  <c r="BZ31" i="10"/>
  <c r="CA31" i="10"/>
  <c r="CB31" i="10"/>
  <c r="CC31" i="10"/>
  <c r="CD31" i="10"/>
  <c r="CE31" i="10"/>
  <c r="CF31" i="10"/>
  <c r="CG31" i="10"/>
  <c r="CH31" i="10"/>
  <c r="CI31" i="10"/>
  <c r="CJ31" i="10"/>
  <c r="CK31" i="10"/>
  <c r="CL31" i="10"/>
  <c r="CM31" i="10"/>
  <c r="CN31" i="10"/>
  <c r="CO31" i="10"/>
  <c r="CP31" i="10"/>
  <c r="CQ31" i="10"/>
  <c r="AB32" i="10"/>
  <c r="AC32" i="10"/>
  <c r="AD32" i="10"/>
  <c r="AE32" i="10"/>
  <c r="AF32" i="10"/>
  <c r="AG32" i="10"/>
  <c r="AH32" i="10"/>
  <c r="AI32" i="10"/>
  <c r="AJ32" i="10"/>
  <c r="AK32" i="10"/>
  <c r="AL32" i="10"/>
  <c r="AM32" i="10"/>
  <c r="AN32" i="10"/>
  <c r="AO32" i="10"/>
  <c r="AP32" i="10"/>
  <c r="AQ32" i="10"/>
  <c r="AR32" i="10"/>
  <c r="AS32" i="10"/>
  <c r="AT32" i="10"/>
  <c r="AU32" i="10"/>
  <c r="AV32" i="10"/>
  <c r="AW32" i="10"/>
  <c r="AX32" i="10"/>
  <c r="AY32" i="10"/>
  <c r="AZ32" i="10"/>
  <c r="BA32" i="10"/>
  <c r="BB32" i="10"/>
  <c r="BC32" i="10"/>
  <c r="BD32" i="10"/>
  <c r="BE32" i="10"/>
  <c r="BF32" i="10"/>
  <c r="BG32" i="10"/>
  <c r="BH32" i="10"/>
  <c r="BI32" i="10"/>
  <c r="BJ32" i="10"/>
  <c r="BK32" i="10"/>
  <c r="BL32" i="10"/>
  <c r="BM32" i="10"/>
  <c r="BN32" i="10"/>
  <c r="BO32" i="10"/>
  <c r="BP32" i="10"/>
  <c r="BQ32" i="10"/>
  <c r="BR32" i="10"/>
  <c r="BS32" i="10"/>
  <c r="BT32" i="10"/>
  <c r="BU32" i="10"/>
  <c r="BV32" i="10"/>
  <c r="BW32" i="10"/>
  <c r="BX32" i="10"/>
  <c r="BY32" i="10"/>
  <c r="BZ32" i="10"/>
  <c r="CA32" i="10"/>
  <c r="CB32" i="10"/>
  <c r="CC32" i="10"/>
  <c r="CD32" i="10"/>
  <c r="CE32" i="10"/>
  <c r="CF32" i="10"/>
  <c r="CG32" i="10"/>
  <c r="CH32" i="10"/>
  <c r="CI32" i="10"/>
  <c r="CJ32" i="10"/>
  <c r="CK32" i="10"/>
  <c r="CL32" i="10"/>
  <c r="CM32" i="10"/>
  <c r="CN32" i="10"/>
  <c r="CO32" i="10"/>
  <c r="CP32" i="10"/>
  <c r="CQ32" i="10"/>
  <c r="AB33" i="10"/>
  <c r="AC33" i="10"/>
  <c r="AD33" i="10"/>
  <c r="AE33" i="10"/>
  <c r="AF33" i="10"/>
  <c r="AG33" i="10"/>
  <c r="AH33" i="10"/>
  <c r="AI33" i="10"/>
  <c r="AJ33" i="10"/>
  <c r="AK33" i="10"/>
  <c r="AL33" i="10"/>
  <c r="AM33" i="10"/>
  <c r="AN33" i="10"/>
  <c r="AO33" i="10"/>
  <c r="AP33" i="10"/>
  <c r="AQ33" i="10"/>
  <c r="AR33" i="10"/>
  <c r="AS33" i="10"/>
  <c r="AT33" i="10"/>
  <c r="AU33" i="10"/>
  <c r="AV33" i="10"/>
  <c r="AW33" i="10"/>
  <c r="AX33" i="10"/>
  <c r="AY33" i="10"/>
  <c r="AZ33" i="10"/>
  <c r="BA33" i="10"/>
  <c r="BB33" i="10"/>
  <c r="BC33" i="10"/>
  <c r="BD33" i="10"/>
  <c r="BE33" i="10"/>
  <c r="BF33" i="10"/>
  <c r="BG33" i="10"/>
  <c r="BH33" i="10"/>
  <c r="BI33" i="10"/>
  <c r="BJ33" i="10"/>
  <c r="BK33" i="10"/>
  <c r="BL33" i="10"/>
  <c r="BM33" i="10"/>
  <c r="BN33" i="10"/>
  <c r="BO33" i="10"/>
  <c r="BP33" i="10"/>
  <c r="BQ33" i="10"/>
  <c r="BR33" i="10"/>
  <c r="BS33" i="10"/>
  <c r="BT33" i="10"/>
  <c r="BU33" i="10"/>
  <c r="BV33" i="10"/>
  <c r="BW33" i="10"/>
  <c r="BX33" i="10"/>
  <c r="BY33" i="10"/>
  <c r="BZ33" i="10"/>
  <c r="CA33" i="10"/>
  <c r="CB33" i="10"/>
  <c r="CC33" i="10"/>
  <c r="CD33" i="10"/>
  <c r="CE33" i="10"/>
  <c r="CF33" i="10"/>
  <c r="CG33" i="10"/>
  <c r="CH33" i="10"/>
  <c r="CI33" i="10"/>
  <c r="CJ33" i="10"/>
  <c r="CK33" i="10"/>
  <c r="CL33" i="10"/>
  <c r="CM33" i="10"/>
  <c r="CN33" i="10"/>
  <c r="CO33" i="10"/>
  <c r="CP33" i="10"/>
  <c r="CQ33" i="10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O34" i="10"/>
  <c r="AP34" i="10"/>
  <c r="AQ34" i="10"/>
  <c r="AR34" i="10"/>
  <c r="AS34" i="10"/>
  <c r="AT34" i="10"/>
  <c r="AU34" i="10"/>
  <c r="AV34" i="10"/>
  <c r="AW34" i="10"/>
  <c r="AX34" i="10"/>
  <c r="AY34" i="10"/>
  <c r="AZ34" i="10"/>
  <c r="BA34" i="10"/>
  <c r="BB34" i="10"/>
  <c r="BC34" i="10"/>
  <c r="BD34" i="10"/>
  <c r="BE34" i="10"/>
  <c r="BF34" i="10"/>
  <c r="BG34" i="10"/>
  <c r="BH34" i="10"/>
  <c r="BI34" i="10"/>
  <c r="BJ34" i="10"/>
  <c r="BK34" i="10"/>
  <c r="BL34" i="10"/>
  <c r="BM34" i="10"/>
  <c r="BN34" i="10"/>
  <c r="BO34" i="10"/>
  <c r="BP34" i="10"/>
  <c r="BQ34" i="10"/>
  <c r="BR34" i="10"/>
  <c r="BS34" i="10"/>
  <c r="BT34" i="10"/>
  <c r="BU34" i="10"/>
  <c r="BV34" i="10"/>
  <c r="BW34" i="10"/>
  <c r="BX34" i="10"/>
  <c r="BY34" i="10"/>
  <c r="BZ34" i="10"/>
  <c r="CA34" i="10"/>
  <c r="CB34" i="10"/>
  <c r="CC34" i="10"/>
  <c r="CD34" i="10"/>
  <c r="CE34" i="10"/>
  <c r="CF34" i="10"/>
  <c r="CG34" i="10"/>
  <c r="CH34" i="10"/>
  <c r="CI34" i="10"/>
  <c r="CJ34" i="10"/>
  <c r="CK34" i="10"/>
  <c r="CL34" i="10"/>
  <c r="CM34" i="10"/>
  <c r="CN34" i="10"/>
  <c r="CO34" i="10"/>
  <c r="CP34" i="10"/>
  <c r="CQ34" i="10"/>
  <c r="AB35" i="10"/>
  <c r="AC35" i="10"/>
  <c r="AD35" i="10"/>
  <c r="AE35" i="10"/>
  <c r="AF35" i="10"/>
  <c r="AG35" i="10"/>
  <c r="AH35" i="10"/>
  <c r="AI35" i="10"/>
  <c r="AJ35" i="10"/>
  <c r="AK35" i="10"/>
  <c r="AL35" i="10"/>
  <c r="AM35" i="10"/>
  <c r="AN35" i="10"/>
  <c r="AO35" i="10"/>
  <c r="AP35" i="10"/>
  <c r="AQ35" i="10"/>
  <c r="AR35" i="10"/>
  <c r="AS35" i="10"/>
  <c r="AT35" i="10"/>
  <c r="AU35" i="10"/>
  <c r="AV35" i="10"/>
  <c r="AW35" i="10"/>
  <c r="AX35" i="10"/>
  <c r="AY35" i="10"/>
  <c r="AZ35" i="10"/>
  <c r="BA35" i="10"/>
  <c r="BB35" i="10"/>
  <c r="BC35" i="10"/>
  <c r="BD35" i="10"/>
  <c r="BE35" i="10"/>
  <c r="BF35" i="10"/>
  <c r="BG35" i="10"/>
  <c r="BH35" i="10"/>
  <c r="BI35" i="10"/>
  <c r="BJ35" i="10"/>
  <c r="BK35" i="10"/>
  <c r="BL35" i="10"/>
  <c r="BM35" i="10"/>
  <c r="BN35" i="10"/>
  <c r="BO35" i="10"/>
  <c r="BP35" i="10"/>
  <c r="BQ35" i="10"/>
  <c r="BR35" i="10"/>
  <c r="BS35" i="10"/>
  <c r="BT35" i="10"/>
  <c r="BU35" i="10"/>
  <c r="BV35" i="10"/>
  <c r="BW35" i="10"/>
  <c r="BX35" i="10"/>
  <c r="BY35" i="10"/>
  <c r="BZ35" i="10"/>
  <c r="CA35" i="10"/>
  <c r="CB35" i="10"/>
  <c r="CC35" i="10"/>
  <c r="CD35" i="10"/>
  <c r="CE35" i="10"/>
  <c r="CF35" i="10"/>
  <c r="CG35" i="10"/>
  <c r="CH35" i="10"/>
  <c r="CI35" i="10"/>
  <c r="CJ35" i="10"/>
  <c r="CK35" i="10"/>
  <c r="CL35" i="10"/>
  <c r="CM35" i="10"/>
  <c r="CN35" i="10"/>
  <c r="CO35" i="10"/>
  <c r="CP35" i="10"/>
  <c r="CQ35" i="10"/>
  <c r="AB36" i="10"/>
  <c r="AC36" i="10"/>
  <c r="AD36" i="10"/>
  <c r="AE36" i="10"/>
  <c r="AF36" i="10"/>
  <c r="AG36" i="10"/>
  <c r="AH36" i="10"/>
  <c r="AI36" i="10"/>
  <c r="AJ36" i="10"/>
  <c r="AK36" i="10"/>
  <c r="AL36" i="10"/>
  <c r="AM36" i="10"/>
  <c r="AN36" i="10"/>
  <c r="AO36" i="10"/>
  <c r="AP36" i="10"/>
  <c r="AQ36" i="10"/>
  <c r="AR36" i="10"/>
  <c r="AS36" i="10"/>
  <c r="AT36" i="10"/>
  <c r="AU36" i="10"/>
  <c r="AV36" i="10"/>
  <c r="AW36" i="10"/>
  <c r="AX36" i="10"/>
  <c r="AY36" i="10"/>
  <c r="AZ36" i="10"/>
  <c r="BA36" i="10"/>
  <c r="BB36" i="10"/>
  <c r="BC36" i="10"/>
  <c r="BD36" i="10"/>
  <c r="BE36" i="10"/>
  <c r="BF36" i="10"/>
  <c r="BG36" i="10"/>
  <c r="BH36" i="10"/>
  <c r="BI36" i="10"/>
  <c r="BJ36" i="10"/>
  <c r="BK36" i="10"/>
  <c r="BL36" i="10"/>
  <c r="BM36" i="10"/>
  <c r="BN36" i="10"/>
  <c r="BO36" i="10"/>
  <c r="BP36" i="10"/>
  <c r="BQ36" i="10"/>
  <c r="BR36" i="10"/>
  <c r="BS36" i="10"/>
  <c r="BT36" i="10"/>
  <c r="BU36" i="10"/>
  <c r="BV36" i="10"/>
  <c r="BW36" i="10"/>
  <c r="BX36" i="10"/>
  <c r="BY36" i="10"/>
  <c r="BZ36" i="10"/>
  <c r="CA36" i="10"/>
  <c r="CB36" i="10"/>
  <c r="CC36" i="10"/>
  <c r="CD36" i="10"/>
  <c r="CE36" i="10"/>
  <c r="CF36" i="10"/>
  <c r="CG36" i="10"/>
  <c r="CH36" i="10"/>
  <c r="CI36" i="10"/>
  <c r="CJ36" i="10"/>
  <c r="CK36" i="10"/>
  <c r="CL36" i="10"/>
  <c r="CM36" i="10"/>
  <c r="CN36" i="10"/>
  <c r="CO36" i="10"/>
  <c r="CP36" i="10"/>
  <c r="CQ36" i="10"/>
  <c r="AB37" i="10"/>
  <c r="AC37" i="10"/>
  <c r="AD37" i="10"/>
  <c r="AE37" i="10"/>
  <c r="AF37" i="10"/>
  <c r="AG37" i="10"/>
  <c r="AH37" i="10"/>
  <c r="AI37" i="10"/>
  <c r="AJ37" i="10"/>
  <c r="AK37" i="10"/>
  <c r="AL37" i="10"/>
  <c r="AM37" i="10"/>
  <c r="AN37" i="10"/>
  <c r="AO37" i="10"/>
  <c r="AP37" i="10"/>
  <c r="AQ37" i="10"/>
  <c r="AR37" i="10"/>
  <c r="AS37" i="10"/>
  <c r="AT37" i="10"/>
  <c r="AU37" i="10"/>
  <c r="AV37" i="10"/>
  <c r="AW37" i="10"/>
  <c r="AX37" i="10"/>
  <c r="AY37" i="10"/>
  <c r="AZ37" i="10"/>
  <c r="BA37" i="10"/>
  <c r="BB37" i="10"/>
  <c r="BC37" i="10"/>
  <c r="BD37" i="10"/>
  <c r="BE37" i="10"/>
  <c r="BF37" i="10"/>
  <c r="BG37" i="10"/>
  <c r="BH37" i="10"/>
  <c r="BI37" i="10"/>
  <c r="BJ37" i="10"/>
  <c r="BK37" i="10"/>
  <c r="BL37" i="10"/>
  <c r="BM37" i="10"/>
  <c r="BN37" i="10"/>
  <c r="BO37" i="10"/>
  <c r="BP37" i="10"/>
  <c r="BQ37" i="10"/>
  <c r="BR37" i="10"/>
  <c r="BS37" i="10"/>
  <c r="BT37" i="10"/>
  <c r="BU37" i="10"/>
  <c r="BV37" i="10"/>
  <c r="BW37" i="10"/>
  <c r="BX37" i="10"/>
  <c r="BY37" i="10"/>
  <c r="BZ37" i="10"/>
  <c r="CA37" i="10"/>
  <c r="CB37" i="10"/>
  <c r="CC37" i="10"/>
  <c r="CD37" i="10"/>
  <c r="CE37" i="10"/>
  <c r="CF37" i="10"/>
  <c r="CG37" i="10"/>
  <c r="CH37" i="10"/>
  <c r="CI37" i="10"/>
  <c r="CJ37" i="10"/>
  <c r="CK37" i="10"/>
  <c r="CL37" i="10"/>
  <c r="CM37" i="10"/>
  <c r="CN37" i="10"/>
  <c r="CO37" i="10"/>
  <c r="CP37" i="10"/>
  <c r="CQ37" i="10"/>
  <c r="AB38" i="10"/>
  <c r="AC38" i="10"/>
  <c r="AD38" i="10"/>
  <c r="AE38" i="10"/>
  <c r="AF38" i="10"/>
  <c r="AG38" i="10"/>
  <c r="AH38" i="10"/>
  <c r="AI38" i="10"/>
  <c r="AJ38" i="10"/>
  <c r="AK38" i="10"/>
  <c r="AL38" i="10"/>
  <c r="AM38" i="10"/>
  <c r="AN38" i="10"/>
  <c r="AO38" i="10"/>
  <c r="AP38" i="10"/>
  <c r="AQ38" i="10"/>
  <c r="AR38" i="10"/>
  <c r="AS38" i="10"/>
  <c r="AT38" i="10"/>
  <c r="AU38" i="10"/>
  <c r="AV38" i="10"/>
  <c r="AW38" i="10"/>
  <c r="AX38" i="10"/>
  <c r="AY38" i="10"/>
  <c r="AZ38" i="10"/>
  <c r="BA38" i="10"/>
  <c r="BB38" i="10"/>
  <c r="BC38" i="10"/>
  <c r="BD38" i="10"/>
  <c r="BE38" i="10"/>
  <c r="BF38" i="10"/>
  <c r="BG38" i="10"/>
  <c r="BH38" i="10"/>
  <c r="BI38" i="10"/>
  <c r="BJ38" i="10"/>
  <c r="BK38" i="10"/>
  <c r="BL38" i="10"/>
  <c r="BM38" i="10"/>
  <c r="BN38" i="10"/>
  <c r="BO38" i="10"/>
  <c r="BP38" i="10"/>
  <c r="BQ38" i="10"/>
  <c r="BR38" i="10"/>
  <c r="BS38" i="10"/>
  <c r="BT38" i="10"/>
  <c r="BU38" i="10"/>
  <c r="BV38" i="10"/>
  <c r="BW38" i="10"/>
  <c r="BX38" i="10"/>
  <c r="BY38" i="10"/>
  <c r="BZ38" i="10"/>
  <c r="CA38" i="10"/>
  <c r="CB38" i="10"/>
  <c r="CC38" i="10"/>
  <c r="CD38" i="10"/>
  <c r="CE38" i="10"/>
  <c r="CF38" i="10"/>
  <c r="CG38" i="10"/>
  <c r="CH38" i="10"/>
  <c r="CI38" i="10"/>
  <c r="CJ38" i="10"/>
  <c r="CK38" i="10"/>
  <c r="CL38" i="10"/>
  <c r="CM38" i="10"/>
  <c r="CN38" i="10"/>
  <c r="CO38" i="10"/>
  <c r="CP38" i="10"/>
  <c r="CQ38" i="10"/>
  <c r="AB39" i="10"/>
  <c r="AC39" i="10"/>
  <c r="AD39" i="10"/>
  <c r="AE39" i="10"/>
  <c r="AF39" i="10"/>
  <c r="AG39" i="10"/>
  <c r="AH39" i="10"/>
  <c r="AI39" i="10"/>
  <c r="AJ39" i="10"/>
  <c r="AK39" i="10"/>
  <c r="AL39" i="10"/>
  <c r="AM39" i="10"/>
  <c r="AN39" i="10"/>
  <c r="AO39" i="10"/>
  <c r="AP39" i="10"/>
  <c r="AQ39" i="10"/>
  <c r="AR39" i="10"/>
  <c r="AS39" i="10"/>
  <c r="AT39" i="10"/>
  <c r="AU39" i="10"/>
  <c r="AV39" i="10"/>
  <c r="AW39" i="10"/>
  <c r="AX39" i="10"/>
  <c r="AY39" i="10"/>
  <c r="AZ39" i="10"/>
  <c r="BA39" i="10"/>
  <c r="BB39" i="10"/>
  <c r="BC39" i="10"/>
  <c r="BD39" i="10"/>
  <c r="BE39" i="10"/>
  <c r="BF39" i="10"/>
  <c r="BG39" i="10"/>
  <c r="BH39" i="10"/>
  <c r="BI39" i="10"/>
  <c r="BJ39" i="10"/>
  <c r="BK39" i="10"/>
  <c r="BL39" i="10"/>
  <c r="BM39" i="10"/>
  <c r="BN39" i="10"/>
  <c r="BO39" i="10"/>
  <c r="BP39" i="10"/>
  <c r="BQ39" i="10"/>
  <c r="BR39" i="10"/>
  <c r="BS39" i="10"/>
  <c r="BT39" i="10"/>
  <c r="BU39" i="10"/>
  <c r="BV39" i="10"/>
  <c r="BW39" i="10"/>
  <c r="BX39" i="10"/>
  <c r="BY39" i="10"/>
  <c r="BZ39" i="10"/>
  <c r="CA39" i="10"/>
  <c r="CB39" i="10"/>
  <c r="CC39" i="10"/>
  <c r="CD39" i="10"/>
  <c r="CE39" i="10"/>
  <c r="CF39" i="10"/>
  <c r="CG39" i="10"/>
  <c r="CH39" i="10"/>
  <c r="CI39" i="10"/>
  <c r="CJ39" i="10"/>
  <c r="CK39" i="10"/>
  <c r="CL39" i="10"/>
  <c r="CM39" i="10"/>
  <c r="CN39" i="10"/>
  <c r="CO39" i="10"/>
  <c r="CP39" i="10"/>
  <c r="CQ39" i="10"/>
  <c r="AB40" i="10"/>
  <c r="AC40" i="10"/>
  <c r="AD40" i="10"/>
  <c r="AE40" i="10"/>
  <c r="AF40" i="10"/>
  <c r="AG40" i="10"/>
  <c r="AH40" i="10"/>
  <c r="AI40" i="10"/>
  <c r="AJ40" i="10"/>
  <c r="AK40" i="10"/>
  <c r="AL40" i="10"/>
  <c r="AM40" i="10"/>
  <c r="AN40" i="10"/>
  <c r="AO40" i="10"/>
  <c r="AP40" i="10"/>
  <c r="AQ40" i="10"/>
  <c r="AR40" i="10"/>
  <c r="AS40" i="10"/>
  <c r="AT40" i="10"/>
  <c r="AU40" i="10"/>
  <c r="AV40" i="10"/>
  <c r="AW40" i="10"/>
  <c r="AX40" i="10"/>
  <c r="AY40" i="10"/>
  <c r="AZ40" i="10"/>
  <c r="BA40" i="10"/>
  <c r="BB40" i="10"/>
  <c r="BC40" i="10"/>
  <c r="BD40" i="10"/>
  <c r="BE40" i="10"/>
  <c r="BF40" i="10"/>
  <c r="BG40" i="10"/>
  <c r="BH40" i="10"/>
  <c r="BI40" i="10"/>
  <c r="BJ40" i="10"/>
  <c r="BK40" i="10"/>
  <c r="BL40" i="10"/>
  <c r="BM40" i="10"/>
  <c r="BN40" i="10"/>
  <c r="BO40" i="10"/>
  <c r="BP40" i="10"/>
  <c r="BQ40" i="10"/>
  <c r="BR40" i="10"/>
  <c r="BS40" i="10"/>
  <c r="BT40" i="10"/>
  <c r="BU40" i="10"/>
  <c r="BV40" i="10"/>
  <c r="BW40" i="10"/>
  <c r="BX40" i="10"/>
  <c r="BY40" i="10"/>
  <c r="BZ40" i="10"/>
  <c r="CA40" i="10"/>
  <c r="CB40" i="10"/>
  <c r="CC40" i="10"/>
  <c r="CD40" i="10"/>
  <c r="CE40" i="10"/>
  <c r="CF40" i="10"/>
  <c r="CG40" i="10"/>
  <c r="CH40" i="10"/>
  <c r="CI40" i="10"/>
  <c r="CJ40" i="10"/>
  <c r="CK40" i="10"/>
  <c r="CL40" i="10"/>
  <c r="CM40" i="10"/>
  <c r="CN40" i="10"/>
  <c r="CO40" i="10"/>
  <c r="CP40" i="10"/>
  <c r="CQ40" i="10"/>
  <c r="AB41" i="10"/>
  <c r="AC41" i="10"/>
  <c r="AD41" i="10"/>
  <c r="AE41" i="10"/>
  <c r="AF41" i="10"/>
  <c r="AG41" i="10"/>
  <c r="AH41" i="10"/>
  <c r="AI41" i="10"/>
  <c r="AJ41" i="10"/>
  <c r="AK41" i="10"/>
  <c r="AL41" i="10"/>
  <c r="AM41" i="10"/>
  <c r="AN41" i="10"/>
  <c r="AO41" i="10"/>
  <c r="AP41" i="10"/>
  <c r="AQ41" i="10"/>
  <c r="AR41" i="10"/>
  <c r="AS41" i="10"/>
  <c r="AT41" i="10"/>
  <c r="AU41" i="10"/>
  <c r="AV41" i="10"/>
  <c r="AW41" i="10"/>
  <c r="AX41" i="10"/>
  <c r="AY41" i="10"/>
  <c r="AZ41" i="10"/>
  <c r="BA41" i="10"/>
  <c r="BB41" i="10"/>
  <c r="BC41" i="10"/>
  <c r="BD41" i="10"/>
  <c r="BE41" i="10"/>
  <c r="BF41" i="10"/>
  <c r="BG41" i="10"/>
  <c r="BH41" i="10"/>
  <c r="BI41" i="10"/>
  <c r="BJ41" i="10"/>
  <c r="BK41" i="10"/>
  <c r="BL41" i="10"/>
  <c r="BM41" i="10"/>
  <c r="BN41" i="10"/>
  <c r="BO41" i="10"/>
  <c r="BP41" i="10"/>
  <c r="BQ41" i="10"/>
  <c r="BR41" i="10"/>
  <c r="BS41" i="10"/>
  <c r="BT41" i="10"/>
  <c r="BU41" i="10"/>
  <c r="BV41" i="10"/>
  <c r="BW41" i="10"/>
  <c r="BX41" i="10"/>
  <c r="BY41" i="10"/>
  <c r="BZ41" i="10"/>
  <c r="CA41" i="10"/>
  <c r="CB41" i="10"/>
  <c r="CC41" i="10"/>
  <c r="CD41" i="10"/>
  <c r="CE41" i="10"/>
  <c r="CF41" i="10"/>
  <c r="CG41" i="10"/>
  <c r="CH41" i="10"/>
  <c r="CI41" i="10"/>
  <c r="CJ41" i="10"/>
  <c r="CK41" i="10"/>
  <c r="CL41" i="10"/>
  <c r="CM41" i="10"/>
  <c r="CN41" i="10"/>
  <c r="CO41" i="10"/>
  <c r="CP41" i="10"/>
  <c r="CQ41" i="10"/>
  <c r="AB42" i="10"/>
  <c r="AC42" i="10"/>
  <c r="AD42" i="10"/>
  <c r="AE42" i="10"/>
  <c r="AF42" i="10"/>
  <c r="AG42" i="10"/>
  <c r="AH42" i="10"/>
  <c r="AI42" i="10"/>
  <c r="AJ42" i="10"/>
  <c r="AK42" i="10"/>
  <c r="AL42" i="10"/>
  <c r="AM42" i="10"/>
  <c r="AN42" i="10"/>
  <c r="AO42" i="10"/>
  <c r="AP42" i="10"/>
  <c r="AQ42" i="10"/>
  <c r="AR42" i="10"/>
  <c r="AS42" i="10"/>
  <c r="AT42" i="10"/>
  <c r="AU42" i="10"/>
  <c r="AV42" i="10"/>
  <c r="AW42" i="10"/>
  <c r="AX42" i="10"/>
  <c r="AY42" i="10"/>
  <c r="AZ42" i="10"/>
  <c r="BA42" i="10"/>
  <c r="BB42" i="10"/>
  <c r="BC42" i="10"/>
  <c r="BD42" i="10"/>
  <c r="BE42" i="10"/>
  <c r="BF42" i="10"/>
  <c r="BG42" i="10"/>
  <c r="BH42" i="10"/>
  <c r="BI42" i="10"/>
  <c r="BJ42" i="10"/>
  <c r="BK42" i="10"/>
  <c r="BL42" i="10"/>
  <c r="BM42" i="10"/>
  <c r="BN42" i="10"/>
  <c r="BO42" i="10"/>
  <c r="BP42" i="10"/>
  <c r="BQ42" i="10"/>
  <c r="BR42" i="10"/>
  <c r="BS42" i="10"/>
  <c r="BT42" i="10"/>
  <c r="BU42" i="10"/>
  <c r="BV42" i="10"/>
  <c r="BW42" i="10"/>
  <c r="BX42" i="10"/>
  <c r="BY42" i="10"/>
  <c r="BZ42" i="10"/>
  <c r="CA42" i="10"/>
  <c r="CB42" i="10"/>
  <c r="CC42" i="10"/>
  <c r="CD42" i="10"/>
  <c r="CE42" i="10"/>
  <c r="CF42" i="10"/>
  <c r="CG42" i="10"/>
  <c r="CH42" i="10"/>
  <c r="CI42" i="10"/>
  <c r="CJ42" i="10"/>
  <c r="CK42" i="10"/>
  <c r="CL42" i="10"/>
  <c r="CM42" i="10"/>
  <c r="CN42" i="10"/>
  <c r="CO42" i="10"/>
  <c r="CP42" i="10"/>
  <c r="CQ42" i="10"/>
  <c r="AB43" i="10"/>
  <c r="AC43" i="10"/>
  <c r="AD43" i="10"/>
  <c r="AE43" i="10"/>
  <c r="AF43" i="10"/>
  <c r="AG43" i="10"/>
  <c r="AH43" i="10"/>
  <c r="AI43" i="10"/>
  <c r="AJ43" i="10"/>
  <c r="AK43" i="10"/>
  <c r="AL43" i="10"/>
  <c r="AM43" i="10"/>
  <c r="AN43" i="10"/>
  <c r="AO43" i="10"/>
  <c r="AP43" i="10"/>
  <c r="AQ43" i="10"/>
  <c r="AR43" i="10"/>
  <c r="AS43" i="10"/>
  <c r="AT43" i="10"/>
  <c r="AU43" i="10"/>
  <c r="AV43" i="10"/>
  <c r="AW43" i="10"/>
  <c r="AX43" i="10"/>
  <c r="AY43" i="10"/>
  <c r="AZ43" i="10"/>
  <c r="BA43" i="10"/>
  <c r="BB43" i="10"/>
  <c r="BC43" i="10"/>
  <c r="BD43" i="10"/>
  <c r="BE43" i="10"/>
  <c r="BF43" i="10"/>
  <c r="BG43" i="10"/>
  <c r="BH43" i="10"/>
  <c r="BI43" i="10"/>
  <c r="BJ43" i="10"/>
  <c r="BK43" i="10"/>
  <c r="BL43" i="10"/>
  <c r="BM43" i="10"/>
  <c r="BN43" i="10"/>
  <c r="BO43" i="10"/>
  <c r="BP43" i="10"/>
  <c r="BQ43" i="10"/>
  <c r="BR43" i="10"/>
  <c r="BS43" i="10"/>
  <c r="BT43" i="10"/>
  <c r="BU43" i="10"/>
  <c r="BV43" i="10"/>
  <c r="BW43" i="10"/>
  <c r="BX43" i="10"/>
  <c r="BY43" i="10"/>
  <c r="BZ43" i="10"/>
  <c r="CA43" i="10"/>
  <c r="CB43" i="10"/>
  <c r="CC43" i="10"/>
  <c r="CD43" i="10"/>
  <c r="CE43" i="10"/>
  <c r="CF43" i="10"/>
  <c r="CG43" i="10"/>
  <c r="CH43" i="10"/>
  <c r="CI43" i="10"/>
  <c r="CJ43" i="10"/>
  <c r="CK43" i="10"/>
  <c r="CL43" i="10"/>
  <c r="CM43" i="10"/>
  <c r="CN43" i="10"/>
  <c r="CO43" i="10"/>
  <c r="CP43" i="10"/>
  <c r="CQ43" i="10"/>
  <c r="AB44" i="10"/>
  <c r="AC44" i="10"/>
  <c r="AD44" i="10"/>
  <c r="AE44" i="10"/>
  <c r="AF44" i="10"/>
  <c r="AG44" i="10"/>
  <c r="AH44" i="10"/>
  <c r="AI44" i="10"/>
  <c r="AJ44" i="10"/>
  <c r="AK44" i="10"/>
  <c r="AL44" i="10"/>
  <c r="AM44" i="10"/>
  <c r="AN44" i="10"/>
  <c r="AO44" i="10"/>
  <c r="AP44" i="10"/>
  <c r="AQ44" i="10"/>
  <c r="AR44" i="10"/>
  <c r="AS44" i="10"/>
  <c r="AT44" i="10"/>
  <c r="AU44" i="10"/>
  <c r="AV44" i="10"/>
  <c r="AW44" i="10"/>
  <c r="AX44" i="10"/>
  <c r="AY44" i="10"/>
  <c r="AZ44" i="10"/>
  <c r="BA44" i="10"/>
  <c r="BB44" i="10"/>
  <c r="BC44" i="10"/>
  <c r="BD44" i="10"/>
  <c r="BE44" i="10"/>
  <c r="BF44" i="10"/>
  <c r="BG44" i="10"/>
  <c r="BH44" i="10"/>
  <c r="BI44" i="10"/>
  <c r="BJ44" i="10"/>
  <c r="BK44" i="10"/>
  <c r="BL44" i="10"/>
  <c r="BM44" i="10"/>
  <c r="BN44" i="10"/>
  <c r="BO44" i="10"/>
  <c r="BP44" i="10"/>
  <c r="BQ44" i="10"/>
  <c r="BR44" i="10"/>
  <c r="BS44" i="10"/>
  <c r="BT44" i="10"/>
  <c r="BU44" i="10"/>
  <c r="BV44" i="10"/>
  <c r="BW44" i="10"/>
  <c r="BX44" i="10"/>
  <c r="BY44" i="10"/>
  <c r="BZ44" i="10"/>
  <c r="CA44" i="10"/>
  <c r="CB44" i="10"/>
  <c r="CC44" i="10"/>
  <c r="CD44" i="10"/>
  <c r="CE44" i="10"/>
  <c r="CF44" i="10"/>
  <c r="CG44" i="10"/>
  <c r="CH44" i="10"/>
  <c r="CI44" i="10"/>
  <c r="CJ44" i="10"/>
  <c r="CK44" i="10"/>
  <c r="CL44" i="10"/>
  <c r="CM44" i="10"/>
  <c r="CN44" i="10"/>
  <c r="CO44" i="10"/>
  <c r="CP44" i="10"/>
  <c r="CQ44" i="10"/>
  <c r="AB45" i="10"/>
  <c r="AC45" i="10"/>
  <c r="AD45" i="10"/>
  <c r="AE45" i="10"/>
  <c r="AF45" i="10"/>
  <c r="AG45" i="10"/>
  <c r="AH45" i="10"/>
  <c r="AI45" i="10"/>
  <c r="AJ45" i="10"/>
  <c r="AK45" i="10"/>
  <c r="AL45" i="10"/>
  <c r="AM45" i="10"/>
  <c r="AN45" i="10"/>
  <c r="AO45" i="10"/>
  <c r="AP45" i="10"/>
  <c r="AQ45" i="10"/>
  <c r="AR45" i="10"/>
  <c r="AS45" i="10"/>
  <c r="AT45" i="10"/>
  <c r="AU45" i="10"/>
  <c r="AV45" i="10"/>
  <c r="AW45" i="10"/>
  <c r="AX45" i="10"/>
  <c r="AY45" i="10"/>
  <c r="AZ45" i="10"/>
  <c r="BA45" i="10"/>
  <c r="BB45" i="10"/>
  <c r="BC45" i="10"/>
  <c r="BD45" i="10"/>
  <c r="BE45" i="10"/>
  <c r="BF45" i="10"/>
  <c r="BG45" i="10"/>
  <c r="BH45" i="10"/>
  <c r="BI45" i="10"/>
  <c r="BJ45" i="10"/>
  <c r="BK45" i="10"/>
  <c r="BL45" i="10"/>
  <c r="BM45" i="10"/>
  <c r="BN45" i="10"/>
  <c r="BO45" i="10"/>
  <c r="BP45" i="10"/>
  <c r="BQ45" i="10"/>
  <c r="BR45" i="10"/>
  <c r="BS45" i="10"/>
  <c r="BT45" i="10"/>
  <c r="BU45" i="10"/>
  <c r="BV45" i="10"/>
  <c r="BW45" i="10"/>
  <c r="BX45" i="10"/>
  <c r="BY45" i="10"/>
  <c r="BZ45" i="10"/>
  <c r="CA45" i="10"/>
  <c r="CB45" i="10"/>
  <c r="CC45" i="10"/>
  <c r="CD45" i="10"/>
  <c r="CE45" i="10"/>
  <c r="CF45" i="10"/>
  <c r="CG45" i="10"/>
  <c r="CH45" i="10"/>
  <c r="CI45" i="10"/>
  <c r="CJ45" i="10"/>
  <c r="CK45" i="10"/>
  <c r="CL45" i="10"/>
  <c r="CM45" i="10"/>
  <c r="CN45" i="10"/>
  <c r="CO45" i="10"/>
  <c r="CP45" i="10"/>
  <c r="CQ45" i="10"/>
  <c r="E24" i="10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R26" i="13"/>
  <c r="AS26" i="13"/>
  <c r="AT26" i="13"/>
  <c r="AU26" i="13"/>
  <c r="AV26" i="13"/>
  <c r="AW26" i="13"/>
  <c r="AX26" i="13"/>
  <c r="AY26" i="13"/>
  <c r="AZ26" i="13"/>
  <c r="BA26" i="13"/>
  <c r="BB26" i="13"/>
  <c r="BC26" i="13"/>
  <c r="BD26" i="13"/>
  <c r="BE26" i="13"/>
  <c r="BF26" i="13"/>
  <c r="BG26" i="13"/>
  <c r="BH26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AU27" i="13"/>
  <c r="AV27" i="13"/>
  <c r="AW27" i="13"/>
  <c r="AX27" i="13"/>
  <c r="AY27" i="13"/>
  <c r="AZ27" i="13"/>
  <c r="BA27" i="13"/>
  <c r="BB27" i="13"/>
  <c r="BC27" i="13"/>
  <c r="BD27" i="13"/>
  <c r="BE27" i="13"/>
  <c r="BF27" i="13"/>
  <c r="BG27" i="13"/>
  <c r="BH27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AQ28" i="13"/>
  <c r="AR28" i="13"/>
  <c r="AS28" i="13"/>
  <c r="AT28" i="13"/>
  <c r="AU28" i="13"/>
  <c r="AV28" i="13"/>
  <c r="AW28" i="13"/>
  <c r="AX28" i="13"/>
  <c r="AY28" i="13"/>
  <c r="AZ28" i="13"/>
  <c r="BA28" i="13"/>
  <c r="BB28" i="13"/>
  <c r="BC28" i="13"/>
  <c r="BD28" i="13"/>
  <c r="BE28" i="13"/>
  <c r="BF28" i="13"/>
  <c r="BG28" i="13"/>
  <c r="BH28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AM29" i="13"/>
  <c r="AN29" i="13"/>
  <c r="AO29" i="13"/>
  <c r="AP29" i="13"/>
  <c r="AQ29" i="13"/>
  <c r="AR29" i="13"/>
  <c r="AS29" i="13"/>
  <c r="AT29" i="13"/>
  <c r="AU29" i="13"/>
  <c r="AV29" i="13"/>
  <c r="AW29" i="13"/>
  <c r="AX29" i="13"/>
  <c r="AY29" i="13"/>
  <c r="AZ29" i="13"/>
  <c r="BA29" i="13"/>
  <c r="BB29" i="13"/>
  <c r="BC29" i="13"/>
  <c r="BD29" i="13"/>
  <c r="BE29" i="13"/>
  <c r="BF29" i="13"/>
  <c r="BG29" i="13"/>
  <c r="BH29" i="13"/>
  <c r="Y30" i="13"/>
  <c r="Z30" i="13"/>
  <c r="AA30" i="13"/>
  <c r="AB30" i="13"/>
  <c r="AC30" i="13"/>
  <c r="AD30" i="13"/>
  <c r="AE30" i="13"/>
  <c r="AF30" i="13"/>
  <c r="AG30" i="13"/>
  <c r="AH30" i="13"/>
  <c r="AI30" i="13"/>
  <c r="AJ30" i="13"/>
  <c r="AK30" i="13"/>
  <c r="AL30" i="13"/>
  <c r="AM30" i="13"/>
  <c r="AN30" i="13"/>
  <c r="AO30" i="13"/>
  <c r="AP30" i="13"/>
  <c r="AQ30" i="13"/>
  <c r="AR30" i="13"/>
  <c r="AS30" i="13"/>
  <c r="AT30" i="13"/>
  <c r="AU30" i="13"/>
  <c r="AV30" i="13"/>
  <c r="AW30" i="13"/>
  <c r="AX30" i="13"/>
  <c r="AY30" i="13"/>
  <c r="AZ30" i="13"/>
  <c r="BA30" i="13"/>
  <c r="BB30" i="13"/>
  <c r="BC30" i="13"/>
  <c r="BD30" i="13"/>
  <c r="BE30" i="13"/>
  <c r="BF30" i="13"/>
  <c r="BG30" i="13"/>
  <c r="BH30" i="13"/>
  <c r="Y31" i="13"/>
  <c r="Z31" i="13"/>
  <c r="AA31" i="13"/>
  <c r="AB31" i="13"/>
  <c r="AC31" i="13"/>
  <c r="AD31" i="13"/>
  <c r="AE31" i="13"/>
  <c r="AF31" i="13"/>
  <c r="AG31" i="13"/>
  <c r="AH31" i="13"/>
  <c r="AI31" i="13"/>
  <c r="AJ31" i="13"/>
  <c r="AK31" i="13"/>
  <c r="AL31" i="13"/>
  <c r="AM31" i="13"/>
  <c r="AN31" i="13"/>
  <c r="AO31" i="13"/>
  <c r="AP31" i="13"/>
  <c r="AQ31" i="13"/>
  <c r="AR31" i="13"/>
  <c r="AS31" i="13"/>
  <c r="AT31" i="13"/>
  <c r="AU31" i="13"/>
  <c r="AV31" i="13"/>
  <c r="AW31" i="13"/>
  <c r="AX31" i="13"/>
  <c r="AY31" i="13"/>
  <c r="AZ31" i="13"/>
  <c r="BA31" i="13"/>
  <c r="BB31" i="13"/>
  <c r="BC31" i="13"/>
  <c r="BD31" i="13"/>
  <c r="BE31" i="13"/>
  <c r="BF31" i="13"/>
  <c r="BG31" i="13"/>
  <c r="BH31" i="13"/>
  <c r="Y32" i="13"/>
  <c r="Z32" i="13"/>
  <c r="AA32" i="13"/>
  <c r="AB32" i="13"/>
  <c r="AC32" i="13"/>
  <c r="AD32" i="13"/>
  <c r="AE32" i="13"/>
  <c r="AF32" i="13"/>
  <c r="AG32" i="13"/>
  <c r="AH32" i="13"/>
  <c r="AI32" i="13"/>
  <c r="AJ32" i="13"/>
  <c r="AK32" i="13"/>
  <c r="AL32" i="13"/>
  <c r="AM32" i="13"/>
  <c r="AN32" i="13"/>
  <c r="AO32" i="13"/>
  <c r="AP32" i="13"/>
  <c r="AQ32" i="13"/>
  <c r="AR32" i="13"/>
  <c r="AS32" i="13"/>
  <c r="AT32" i="13"/>
  <c r="AU32" i="13"/>
  <c r="AV32" i="13"/>
  <c r="AW32" i="13"/>
  <c r="AX32" i="13"/>
  <c r="AY32" i="13"/>
  <c r="AZ32" i="13"/>
  <c r="BA32" i="13"/>
  <c r="BB32" i="13"/>
  <c r="BC32" i="13"/>
  <c r="BD32" i="13"/>
  <c r="BE32" i="13"/>
  <c r="BF32" i="13"/>
  <c r="BG32" i="13"/>
  <c r="BH32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AU33" i="13"/>
  <c r="AV33" i="13"/>
  <c r="AW33" i="13"/>
  <c r="AX33" i="13"/>
  <c r="AY33" i="13"/>
  <c r="AZ33" i="13"/>
  <c r="BA33" i="13"/>
  <c r="BB33" i="13"/>
  <c r="BC33" i="13"/>
  <c r="BD33" i="13"/>
  <c r="BE33" i="13"/>
  <c r="BF33" i="13"/>
  <c r="BG33" i="13"/>
  <c r="BH33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AQ34" i="13"/>
  <c r="AR34" i="13"/>
  <c r="AS34" i="13"/>
  <c r="AT34" i="13"/>
  <c r="AU34" i="13"/>
  <c r="AV34" i="13"/>
  <c r="AW34" i="13"/>
  <c r="AX34" i="13"/>
  <c r="AY34" i="13"/>
  <c r="AZ34" i="13"/>
  <c r="BA34" i="13"/>
  <c r="BB34" i="13"/>
  <c r="BC34" i="13"/>
  <c r="BD34" i="13"/>
  <c r="BE34" i="13"/>
  <c r="BF34" i="13"/>
  <c r="BG34" i="13"/>
  <c r="BH34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AQ35" i="13"/>
  <c r="AR35" i="13"/>
  <c r="AS35" i="13"/>
  <c r="AT35" i="13"/>
  <c r="AU35" i="13"/>
  <c r="AV35" i="13"/>
  <c r="AW35" i="13"/>
  <c r="AX35" i="13"/>
  <c r="AY35" i="13"/>
  <c r="AZ35" i="13"/>
  <c r="BA35" i="13"/>
  <c r="BB35" i="13"/>
  <c r="BC35" i="13"/>
  <c r="BD35" i="13"/>
  <c r="BE35" i="13"/>
  <c r="BF35" i="13"/>
  <c r="BG35" i="13"/>
  <c r="BH35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AX36" i="13"/>
  <c r="AY36" i="13"/>
  <c r="AZ36" i="13"/>
  <c r="BA36" i="13"/>
  <c r="BB36" i="13"/>
  <c r="BC36" i="13"/>
  <c r="BD36" i="13"/>
  <c r="BE36" i="13"/>
  <c r="BF36" i="13"/>
  <c r="BG36" i="13"/>
  <c r="BH36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AU37" i="13"/>
  <c r="AV37" i="13"/>
  <c r="AW37" i="13"/>
  <c r="AX37" i="13"/>
  <c r="AY37" i="13"/>
  <c r="AZ37" i="13"/>
  <c r="BA37" i="13"/>
  <c r="BB37" i="13"/>
  <c r="BC37" i="13"/>
  <c r="BD37" i="13"/>
  <c r="BE37" i="13"/>
  <c r="BF37" i="13"/>
  <c r="BG37" i="13"/>
  <c r="BH37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AQ38" i="13"/>
  <c r="AR38" i="13"/>
  <c r="AS38" i="13"/>
  <c r="AT38" i="13"/>
  <c r="AU38" i="13"/>
  <c r="AV38" i="13"/>
  <c r="AW38" i="13"/>
  <c r="AX38" i="13"/>
  <c r="AY38" i="13"/>
  <c r="AZ38" i="13"/>
  <c r="BA38" i="13"/>
  <c r="BB38" i="13"/>
  <c r="BC38" i="13"/>
  <c r="BD38" i="13"/>
  <c r="BE38" i="13"/>
  <c r="BF38" i="13"/>
  <c r="BG38" i="13"/>
  <c r="BH38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AX39" i="13"/>
  <c r="AY39" i="13"/>
  <c r="AZ39" i="13"/>
  <c r="BA39" i="13"/>
  <c r="BB39" i="13"/>
  <c r="BC39" i="13"/>
  <c r="BD39" i="13"/>
  <c r="BE39" i="13"/>
  <c r="BF39" i="13"/>
  <c r="BG39" i="13"/>
  <c r="BH39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T40" i="13"/>
  <c r="AU40" i="13"/>
  <c r="AV40" i="13"/>
  <c r="AW40" i="13"/>
  <c r="AX40" i="13"/>
  <c r="AY40" i="13"/>
  <c r="AZ40" i="13"/>
  <c r="BA40" i="13"/>
  <c r="BB40" i="13"/>
  <c r="BC40" i="13"/>
  <c r="BD40" i="13"/>
  <c r="BE40" i="13"/>
  <c r="BF40" i="13"/>
  <c r="BG40" i="13"/>
  <c r="BH40" i="13"/>
  <c r="Q26" i="13"/>
  <c r="E26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V24" i="13"/>
  <c r="AW24" i="13"/>
  <c r="AX24" i="13"/>
  <c r="AY24" i="13"/>
  <c r="AZ24" i="13"/>
  <c r="BA24" i="13"/>
  <c r="BB24" i="13"/>
  <c r="BC24" i="13"/>
  <c r="BD24" i="13"/>
  <c r="BE24" i="13"/>
  <c r="BF24" i="13"/>
  <c r="BG24" i="13"/>
  <c r="BH24" i="13"/>
  <c r="F2" i="13"/>
  <c r="G2" i="13"/>
  <c r="H2" i="13"/>
  <c r="I2" i="13"/>
  <c r="J2" i="13"/>
  <c r="K2" i="13"/>
  <c r="L2" i="13"/>
  <c r="M2" i="13"/>
  <c r="N2" i="13"/>
  <c r="O2" i="13"/>
  <c r="P2" i="13"/>
  <c r="Q2" i="13"/>
  <c r="R2" i="13"/>
  <c r="S2" i="13"/>
  <c r="T2" i="13"/>
  <c r="U2" i="13"/>
  <c r="V2" i="13"/>
  <c r="W2" i="13"/>
  <c r="X2" i="13"/>
  <c r="Y2" i="13"/>
  <c r="Z2" i="13"/>
  <c r="AA2" i="13"/>
  <c r="AB2" i="13"/>
  <c r="AC2" i="13"/>
  <c r="AD2" i="13"/>
  <c r="AE2" i="13"/>
  <c r="AF2" i="13"/>
  <c r="AG2" i="13"/>
  <c r="AH2" i="13"/>
  <c r="AI2" i="13"/>
  <c r="AJ2" i="13"/>
  <c r="AK2" i="13"/>
  <c r="AL2" i="13"/>
  <c r="AM2" i="13"/>
  <c r="AN2" i="13"/>
  <c r="AO2" i="13"/>
  <c r="AP2" i="13"/>
  <c r="AQ2" i="13"/>
  <c r="AR2" i="13"/>
  <c r="AS2" i="13"/>
  <c r="AT2" i="13"/>
  <c r="AU2" i="13"/>
  <c r="AV2" i="13"/>
  <c r="AW2" i="13"/>
  <c r="AX2" i="13"/>
  <c r="AY2" i="13"/>
  <c r="AZ2" i="13"/>
  <c r="BA2" i="13"/>
  <c r="BB2" i="13"/>
  <c r="BC2" i="13"/>
  <c r="BD2" i="13"/>
  <c r="BE2" i="13"/>
  <c r="BF2" i="13"/>
  <c r="BG2" i="13"/>
  <c r="BH2" i="13"/>
  <c r="D24" i="12"/>
  <c r="D25" i="12"/>
  <c r="B25" i="12"/>
  <c r="C25" i="12"/>
  <c r="A25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W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W26" i="12"/>
  <c r="X26" i="12"/>
  <c r="Y26" i="12"/>
  <c r="Z26" i="12"/>
  <c r="AA26" i="12"/>
  <c r="AB26" i="12"/>
  <c r="AC26" i="12"/>
  <c r="AD26" i="12"/>
  <c r="AE26" i="12"/>
  <c r="AF26" i="12"/>
  <c r="AG26" i="12"/>
  <c r="AG47" i="12" s="1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W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W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W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W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V30" i="12"/>
  <c r="AW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U31" i="12"/>
  <c r="AV31" i="12"/>
  <c r="AW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U32" i="12"/>
  <c r="AV32" i="12"/>
  <c r="AW32" i="12"/>
  <c r="AX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W33" i="12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F2" i="12"/>
  <c r="AG2" i="12"/>
  <c r="AH2" i="12"/>
  <c r="AI2" i="12"/>
  <c r="AJ2" i="12"/>
  <c r="AK2" i="12"/>
  <c r="AL2" i="12"/>
  <c r="AM2" i="12"/>
  <c r="AN2" i="12"/>
  <c r="AO2" i="12"/>
  <c r="AP2" i="12"/>
  <c r="AQ2" i="12"/>
  <c r="AR2" i="12"/>
  <c r="AS2" i="12"/>
  <c r="AT2" i="12"/>
  <c r="AU2" i="12"/>
  <c r="AV2" i="12"/>
  <c r="AW2" i="12"/>
  <c r="AX2" i="12"/>
  <c r="AY2" i="12"/>
  <c r="AZ2" i="12"/>
  <c r="BA2" i="12"/>
  <c r="BB2" i="12"/>
  <c r="BC2" i="12"/>
  <c r="BD2" i="12"/>
  <c r="BE2" i="12"/>
  <c r="BF2" i="12"/>
  <c r="BG2" i="12"/>
  <c r="BH2" i="12"/>
  <c r="BI2" i="12"/>
  <c r="BJ2" i="12"/>
  <c r="AA47" i="13" l="1"/>
  <c r="CH47" i="10"/>
  <c r="AH47" i="14"/>
  <c r="Z47" i="14"/>
  <c r="BF47" i="14"/>
  <c r="AX47" i="14"/>
  <c r="R47" i="14"/>
  <c r="AW47" i="12"/>
  <c r="AS47" i="12"/>
  <c r="BE47" i="12"/>
  <c r="Y47" i="12"/>
  <c r="CM47" i="10"/>
  <c r="BO47" i="10"/>
  <c r="AY47" i="10"/>
  <c r="BT47" i="11"/>
  <c r="AN47" i="11"/>
  <c r="AU47" i="14"/>
  <c r="W47" i="14"/>
  <c r="CK47" i="10"/>
  <c r="CC47" i="10"/>
  <c r="BU47" i="10"/>
  <c r="BM47" i="10"/>
  <c r="BE47" i="10"/>
  <c r="AW47" i="10"/>
  <c r="AO47" i="10"/>
  <c r="AG47" i="10"/>
  <c r="CA47" i="11"/>
  <c r="BS47" i="11"/>
  <c r="BK47" i="11"/>
  <c r="BC47" i="11"/>
  <c r="AU47" i="11"/>
  <c r="AM47" i="11"/>
  <c r="AE47" i="11"/>
  <c r="BB47" i="14"/>
  <c r="AT47" i="14"/>
  <c r="AL47" i="14"/>
  <c r="AD47" i="14"/>
  <c r="V47" i="14"/>
  <c r="BI47" i="12"/>
  <c r="BA47" i="12"/>
  <c r="CE47" i="10"/>
  <c r="BG47" i="10"/>
  <c r="AI47" i="10"/>
  <c r="BL47" i="11"/>
  <c r="AF47" i="11"/>
  <c r="BC47" i="14"/>
  <c r="AE47" i="14"/>
  <c r="CJ47" i="10"/>
  <c r="CB47" i="10"/>
  <c r="BT47" i="10"/>
  <c r="BL47" i="10"/>
  <c r="BD47" i="10"/>
  <c r="AV47" i="10"/>
  <c r="AN47" i="10"/>
  <c r="AF47" i="10"/>
  <c r="BZ47" i="11"/>
  <c r="BR47" i="11"/>
  <c r="BJ47" i="11"/>
  <c r="BB47" i="11"/>
  <c r="AT47" i="11"/>
  <c r="AL47" i="11"/>
  <c r="AD47" i="11"/>
  <c r="BE47" i="14"/>
  <c r="AW47" i="14"/>
  <c r="AO47" i="14"/>
  <c r="AG47" i="14"/>
  <c r="Y47" i="14"/>
  <c r="BI47" i="14"/>
  <c r="BA47" i="14"/>
  <c r="AS47" i="14"/>
  <c r="AK47" i="14"/>
  <c r="AC47" i="14"/>
  <c r="U47" i="14"/>
  <c r="AC47" i="12"/>
  <c r="AO47" i="12"/>
  <c r="BW47" i="10"/>
  <c r="AQ47" i="10"/>
  <c r="CB47" i="11"/>
  <c r="BD47" i="11"/>
  <c r="AM47" i="14"/>
  <c r="BG47" i="13"/>
  <c r="AY47" i="13"/>
  <c r="AQ47" i="13"/>
  <c r="AI47" i="13"/>
  <c r="CQ47" i="10"/>
  <c r="CI47" i="10"/>
  <c r="CA47" i="10"/>
  <c r="BS47" i="10"/>
  <c r="BK47" i="10"/>
  <c r="BC47" i="10"/>
  <c r="BY47" i="11"/>
  <c r="BQ47" i="11"/>
  <c r="BI47" i="11"/>
  <c r="BA47" i="11"/>
  <c r="AS47" i="11"/>
  <c r="AK47" i="11"/>
  <c r="AC47" i="11"/>
  <c r="BH47" i="14"/>
  <c r="AZ47" i="14"/>
  <c r="AR47" i="14"/>
  <c r="AJ47" i="14"/>
  <c r="AB47" i="14"/>
  <c r="T47" i="14"/>
  <c r="BR47" i="10"/>
  <c r="BB47" i="10"/>
  <c r="AL47" i="10"/>
  <c r="BP47" i="11"/>
  <c r="AZ47" i="11"/>
  <c r="AJ47" i="11"/>
  <c r="CO47" i="10"/>
  <c r="CG47" i="10"/>
  <c r="BY47" i="10"/>
  <c r="BQ47" i="10"/>
  <c r="BI47" i="10"/>
  <c r="BA47" i="10"/>
  <c r="AS47" i="10"/>
  <c r="AK47" i="10"/>
  <c r="AC47" i="10"/>
  <c r="BW47" i="11"/>
  <c r="BO47" i="11"/>
  <c r="BG47" i="11"/>
  <c r="AY47" i="11"/>
  <c r="AQ47" i="11"/>
  <c r="AI47" i="11"/>
  <c r="AA47" i="11"/>
  <c r="CN47" i="10"/>
  <c r="CF47" i="10"/>
  <c r="BX47" i="10"/>
  <c r="BP47" i="10"/>
  <c r="BH47" i="10"/>
  <c r="AZ47" i="10"/>
  <c r="AR47" i="10"/>
  <c r="AJ47" i="10"/>
  <c r="AB47" i="10"/>
  <c r="AK47" i="12"/>
  <c r="BZ47" i="10"/>
  <c r="BJ47" i="10"/>
  <c r="AT47" i="10"/>
  <c r="AD47" i="10"/>
  <c r="BX47" i="11"/>
  <c r="BH47" i="11"/>
  <c r="AR47" i="11"/>
  <c r="AB47" i="11"/>
  <c r="BG47" i="14"/>
  <c r="AY47" i="14"/>
  <c r="AQ47" i="14"/>
  <c r="AI47" i="14"/>
  <c r="AA47" i="14"/>
  <c r="S47" i="14"/>
  <c r="AU47" i="10"/>
  <c r="AM47" i="10"/>
  <c r="AE47" i="10"/>
  <c r="BV47" i="11"/>
  <c r="BN47" i="11"/>
  <c r="BF47" i="11"/>
  <c r="AX47" i="11"/>
  <c r="AP47" i="11"/>
  <c r="AH47" i="11"/>
  <c r="Z47" i="11"/>
  <c r="CC47" i="11"/>
  <c r="BU47" i="11"/>
  <c r="BM47" i="11"/>
  <c r="BE47" i="11"/>
  <c r="AW47" i="11"/>
  <c r="AO47" i="11"/>
  <c r="AG47" i="11"/>
  <c r="Y47" i="11"/>
  <c r="BD47" i="14"/>
  <c r="AV47" i="14"/>
  <c r="AN47" i="14"/>
  <c r="AF47" i="14"/>
  <c r="X47" i="14"/>
  <c r="AV47" i="11"/>
  <c r="CP47" i="10"/>
  <c r="BG47" i="12"/>
  <c r="AY47" i="12"/>
  <c r="AQ47" i="12"/>
  <c r="AI47" i="12"/>
  <c r="AA47" i="12"/>
  <c r="CL47" i="10"/>
  <c r="CD47" i="10"/>
  <c r="BV47" i="10"/>
  <c r="BN47" i="10"/>
  <c r="BF47" i="10"/>
  <c r="AX47" i="10"/>
  <c r="AP47" i="10"/>
  <c r="AH47" i="10"/>
  <c r="BC47" i="12"/>
  <c r="AU47" i="12"/>
  <c r="AM47" i="12"/>
  <c r="AE47" i="12"/>
  <c r="W47" i="12"/>
  <c r="BH47" i="13"/>
  <c r="AZ47" i="13"/>
  <c r="AR47" i="13"/>
  <c r="AJ47" i="13"/>
  <c r="AB47" i="13"/>
  <c r="BJ47" i="12"/>
  <c r="BB47" i="12"/>
  <c r="AT47" i="12"/>
  <c r="AL47" i="12"/>
  <c r="AD47" i="12"/>
  <c r="BF47" i="13"/>
  <c r="AX47" i="13"/>
  <c r="AP47" i="13"/>
  <c r="AH47" i="13"/>
  <c r="Z47" i="13"/>
  <c r="BH47" i="12"/>
  <c r="AZ47" i="12"/>
  <c r="AR47" i="12"/>
  <c r="AJ47" i="12"/>
  <c r="AB47" i="12"/>
  <c r="BE47" i="13"/>
  <c r="AW47" i="13"/>
  <c r="AO47" i="13"/>
  <c r="AG47" i="13"/>
  <c r="Y47" i="13"/>
  <c r="BD47" i="13"/>
  <c r="AV47" i="13"/>
  <c r="AN47" i="13"/>
  <c r="AF47" i="13"/>
  <c r="BF47" i="12"/>
  <c r="AX47" i="12"/>
  <c r="AP47" i="12"/>
  <c r="AH47" i="12"/>
  <c r="Z47" i="12"/>
  <c r="BC47" i="13"/>
  <c r="AU47" i="13"/>
  <c r="AM47" i="13"/>
  <c r="AE47" i="13"/>
  <c r="BB47" i="13"/>
  <c r="AT47" i="13"/>
  <c r="AL47" i="13"/>
  <c r="AD47" i="13"/>
  <c r="BD47" i="12"/>
  <c r="AV47" i="12"/>
  <c r="AN47" i="12"/>
  <c r="AF47" i="12"/>
  <c r="X47" i="12"/>
  <c r="BA47" i="13"/>
  <c r="AS47" i="13"/>
  <c r="AK47" i="13"/>
  <c r="AC47" i="13"/>
  <c r="E24" i="12" l="1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D25" i="14"/>
  <c r="D24" i="14"/>
  <c r="A25" i="14"/>
  <c r="B25" i="14"/>
  <c r="C25" i="14"/>
  <c r="O26" i="14"/>
  <c r="E26" i="14"/>
  <c r="E2" i="14" l="1"/>
  <c r="C26" i="13"/>
  <c r="C31" i="13"/>
  <c r="C33" i="13"/>
  <c r="C36" i="13"/>
  <c r="C39" i="13"/>
  <c r="C26" i="11"/>
  <c r="C28" i="13"/>
  <c r="C29" i="13"/>
  <c r="C34" i="13"/>
  <c r="C27" i="13"/>
  <c r="C30" i="13"/>
  <c r="C32" i="13"/>
  <c r="C35" i="13"/>
  <c r="C37" i="13"/>
  <c r="C38" i="13"/>
  <c r="C40" i="13"/>
  <c r="E2" i="12"/>
  <c r="E2" i="11"/>
  <c r="Q30" i="19"/>
  <c r="Q31" i="19" s="1"/>
  <c r="B6" i="19"/>
  <c r="C29" i="19" s="1"/>
  <c r="B5" i="19"/>
  <c r="C14" i="19" s="1"/>
  <c r="Q30" i="18"/>
  <c r="Q31" i="18" s="1"/>
  <c r="Q32" i="18" s="1"/>
  <c r="C9" i="18"/>
  <c r="E1" i="18" s="1"/>
  <c r="B6" i="18"/>
  <c r="B29" i="18" s="1"/>
  <c r="B5" i="18"/>
  <c r="B19" i="18" s="1"/>
  <c r="Q30" i="17"/>
  <c r="Q31" i="17" s="1"/>
  <c r="C20" i="17"/>
  <c r="C13" i="17"/>
  <c r="C11" i="17"/>
  <c r="B6" i="17"/>
  <c r="C29" i="17" s="1"/>
  <c r="B5" i="17"/>
  <c r="B20" i="17" s="1"/>
  <c r="Q30" i="16"/>
  <c r="Q31" i="16" s="1"/>
  <c r="B6" i="16"/>
  <c r="C25" i="16" s="1"/>
  <c r="B5" i="16"/>
  <c r="C20" i="16" l="1"/>
  <c r="B13" i="18"/>
  <c r="B13" i="17"/>
  <c r="D13" i="17" s="1"/>
  <c r="E13" i="17" s="1"/>
  <c r="C21" i="18"/>
  <c r="C13" i="18"/>
  <c r="B17" i="18"/>
  <c r="B15" i="17"/>
  <c r="C17" i="18"/>
  <c r="Z25" i="11"/>
  <c r="AH25" i="11"/>
  <c r="AP25" i="11"/>
  <c r="AX25" i="11"/>
  <c r="BF25" i="11"/>
  <c r="BN25" i="11"/>
  <c r="BV25" i="11"/>
  <c r="AA25" i="11"/>
  <c r="AI25" i="11"/>
  <c r="AQ25" i="11"/>
  <c r="AY25" i="11"/>
  <c r="BG25" i="11"/>
  <c r="BO25" i="11"/>
  <c r="BW25" i="11"/>
  <c r="AB25" i="11"/>
  <c r="AJ25" i="11"/>
  <c r="AR25" i="11"/>
  <c r="AZ25" i="11"/>
  <c r="BH25" i="11"/>
  <c r="BP25" i="11"/>
  <c r="BX25" i="11"/>
  <c r="AC25" i="11"/>
  <c r="AK25" i="11"/>
  <c r="AS25" i="11"/>
  <c r="BA25" i="11"/>
  <c r="BI25" i="11"/>
  <c r="BQ25" i="11"/>
  <c r="BY25" i="11"/>
  <c r="AD25" i="11"/>
  <c r="AL25" i="11"/>
  <c r="AT25" i="11"/>
  <c r="BB25" i="11"/>
  <c r="BJ25" i="11"/>
  <c r="BR25" i="11"/>
  <c r="BZ25" i="11"/>
  <c r="AE25" i="11"/>
  <c r="AM25" i="11"/>
  <c r="AU25" i="11"/>
  <c r="BC25" i="11"/>
  <c r="BK25" i="11"/>
  <c r="BS25" i="11"/>
  <c r="CA25" i="11"/>
  <c r="AF25" i="11"/>
  <c r="AN25" i="11"/>
  <c r="AV25" i="11"/>
  <c r="BD25" i="11"/>
  <c r="BL25" i="11"/>
  <c r="BT25" i="11"/>
  <c r="CB25" i="11"/>
  <c r="Y25" i="11"/>
  <c r="AG25" i="11"/>
  <c r="AO25" i="11"/>
  <c r="AW25" i="11"/>
  <c r="BE25" i="11"/>
  <c r="BM25" i="11"/>
  <c r="BU25" i="11"/>
  <c r="CC25" i="11"/>
  <c r="C15" i="17"/>
  <c r="B9" i="18"/>
  <c r="D9" i="18" s="1"/>
  <c r="C19" i="18"/>
  <c r="D13" i="18"/>
  <c r="E13" i="18" s="1"/>
  <c r="B17" i="17"/>
  <c r="C9" i="16"/>
  <c r="E1" i="16" s="1"/>
  <c r="W25" i="14"/>
  <c r="AE25" i="14"/>
  <c r="AM25" i="14"/>
  <c r="AU25" i="14"/>
  <c r="BC25" i="14"/>
  <c r="X25" i="14"/>
  <c r="AF25" i="14"/>
  <c r="AN25" i="14"/>
  <c r="AV25" i="14"/>
  <c r="BD25" i="14"/>
  <c r="Y25" i="14"/>
  <c r="AG25" i="14"/>
  <c r="AO25" i="14"/>
  <c r="AW25" i="14"/>
  <c r="BE25" i="14"/>
  <c r="R25" i="14"/>
  <c r="Z25" i="14"/>
  <c r="AH25" i="14"/>
  <c r="AP25" i="14"/>
  <c r="AX25" i="14"/>
  <c r="BF25" i="14"/>
  <c r="S25" i="14"/>
  <c r="AA25" i="14"/>
  <c r="AI25" i="14"/>
  <c r="AQ25" i="14"/>
  <c r="AY25" i="14"/>
  <c r="BG25" i="14"/>
  <c r="T25" i="14"/>
  <c r="AB25" i="14"/>
  <c r="AJ25" i="14"/>
  <c r="AR25" i="14"/>
  <c r="AZ25" i="14"/>
  <c r="BH25" i="14"/>
  <c r="E25" i="14"/>
  <c r="U25" i="14"/>
  <c r="AC25" i="14"/>
  <c r="AK25" i="14"/>
  <c r="AS25" i="14"/>
  <c r="BA25" i="14"/>
  <c r="BI25" i="14"/>
  <c r="V25" i="14"/>
  <c r="AD25" i="14"/>
  <c r="AL25" i="14"/>
  <c r="AT25" i="14"/>
  <c r="BB25" i="14"/>
  <c r="B9" i="17"/>
  <c r="C9" i="17"/>
  <c r="E1" i="17" s="1"/>
  <c r="C17" i="17"/>
  <c r="B11" i="18"/>
  <c r="C25" i="18"/>
  <c r="B11" i="17"/>
  <c r="D11" i="17" s="1"/>
  <c r="E11" i="17" s="1"/>
  <c r="C19" i="17"/>
  <c r="C11" i="18"/>
  <c r="C29" i="18"/>
  <c r="Y25" i="12"/>
  <c r="AC25" i="12"/>
  <c r="AG25" i="12"/>
  <c r="AK25" i="12"/>
  <c r="AO25" i="12"/>
  <c r="AS25" i="12"/>
  <c r="AW25" i="12"/>
  <c r="BA25" i="12"/>
  <c r="BE25" i="12"/>
  <c r="BI25" i="12"/>
  <c r="AA25" i="12"/>
  <c r="AI25" i="12"/>
  <c r="AQ25" i="12"/>
  <c r="AY25" i="12"/>
  <c r="BG25" i="12"/>
  <c r="X25" i="12"/>
  <c r="AB25" i="12"/>
  <c r="AJ25" i="12"/>
  <c r="AR25" i="12"/>
  <c r="AZ25" i="12"/>
  <c r="BH25" i="12"/>
  <c r="Z25" i="12"/>
  <c r="AD25" i="12"/>
  <c r="AH25" i="12"/>
  <c r="AL25" i="12"/>
  <c r="AP25" i="12"/>
  <c r="AT25" i="12"/>
  <c r="AX25" i="12"/>
  <c r="BB25" i="12"/>
  <c r="BF25" i="12"/>
  <c r="BJ25" i="12"/>
  <c r="W25" i="12"/>
  <c r="AE25" i="12"/>
  <c r="AM25" i="12"/>
  <c r="AU25" i="12"/>
  <c r="BC25" i="12"/>
  <c r="AF25" i="12"/>
  <c r="AN25" i="12"/>
  <c r="AV25" i="12"/>
  <c r="BD25" i="12"/>
  <c r="AE48" i="13" a="1"/>
  <c r="AE48" i="13" s="1"/>
  <c r="AM48" i="13" a="1"/>
  <c r="AM48" i="13" s="1"/>
  <c r="AU48" i="13" a="1"/>
  <c r="AU48" i="13" s="1"/>
  <c r="BC48" i="13" a="1"/>
  <c r="BC48" i="13" s="1"/>
  <c r="AF48" i="13" a="1"/>
  <c r="AF48" i="13" s="1"/>
  <c r="AN48" i="13" a="1"/>
  <c r="AN48" i="13" s="1"/>
  <c r="AV48" i="13" a="1"/>
  <c r="AV48" i="13" s="1"/>
  <c r="BD48" i="13" a="1"/>
  <c r="BD48" i="13" s="1"/>
  <c r="Y48" i="13" a="1"/>
  <c r="Y48" i="13" s="1"/>
  <c r="AG48" i="13" a="1"/>
  <c r="AG48" i="13" s="1"/>
  <c r="AO48" i="13" a="1"/>
  <c r="AO48" i="13" s="1"/>
  <c r="AW48" i="13" a="1"/>
  <c r="AW48" i="13" s="1"/>
  <c r="BE48" i="13" a="1"/>
  <c r="BE48" i="13" s="1"/>
  <c r="AZ48" i="13" a="1"/>
  <c r="AZ48" i="13" s="1"/>
  <c r="Z48" i="13" a="1"/>
  <c r="Z48" i="13" s="1"/>
  <c r="AH48" i="13" a="1"/>
  <c r="AH48" i="13" s="1"/>
  <c r="AP48" i="13" a="1"/>
  <c r="AP48" i="13" s="1"/>
  <c r="AX48" i="13" a="1"/>
  <c r="AX48" i="13" s="1"/>
  <c r="BF48" i="13" a="1"/>
  <c r="BF48" i="13" s="1"/>
  <c r="AB48" i="13" a="1"/>
  <c r="AB48" i="13" s="1"/>
  <c r="AA48" i="13" a="1"/>
  <c r="AA48" i="13" s="1"/>
  <c r="AI48" i="13" a="1"/>
  <c r="AI48" i="13" s="1"/>
  <c r="AQ48" i="13" a="1"/>
  <c r="AQ48" i="13" s="1"/>
  <c r="AY48" i="13" a="1"/>
  <c r="AY48" i="13" s="1"/>
  <c r="BG48" i="13" a="1"/>
  <c r="BG48" i="13" s="1"/>
  <c r="BH48" i="13" a="1"/>
  <c r="BH48" i="13" s="1"/>
  <c r="AC48" i="13" a="1"/>
  <c r="AC48" i="13" s="1"/>
  <c r="AK48" i="13" a="1"/>
  <c r="AK48" i="13" s="1"/>
  <c r="AS48" i="13" a="1"/>
  <c r="AS48" i="13" s="1"/>
  <c r="BA48" i="13" a="1"/>
  <c r="BA48" i="13" s="1"/>
  <c r="AR48" i="13" a="1"/>
  <c r="AR48" i="13" s="1"/>
  <c r="AD48" i="13" a="1"/>
  <c r="AD48" i="13" s="1"/>
  <c r="AL48" i="13" a="1"/>
  <c r="AL48" i="13" s="1"/>
  <c r="AT48" i="13" a="1"/>
  <c r="AT48" i="13" s="1"/>
  <c r="BB48" i="13" a="1"/>
  <c r="BB48" i="13" s="1"/>
  <c r="AJ48" i="13" a="1"/>
  <c r="AJ48" i="13" s="1"/>
  <c r="B17" i="19"/>
  <c r="D17" i="19" s="1"/>
  <c r="E17" i="19" s="1"/>
  <c r="C15" i="19"/>
  <c r="B9" i="19"/>
  <c r="C17" i="19"/>
  <c r="C10" i="19"/>
  <c r="C18" i="19"/>
  <c r="B11" i="19"/>
  <c r="B19" i="19"/>
  <c r="B12" i="19"/>
  <c r="B20" i="19"/>
  <c r="C12" i="19"/>
  <c r="C20" i="19"/>
  <c r="B14" i="19"/>
  <c r="D14" i="19" s="1"/>
  <c r="E14" i="19" s="1"/>
  <c r="B15" i="19"/>
  <c r="B18" i="19"/>
  <c r="C9" i="19"/>
  <c r="E1" i="19" s="1"/>
  <c r="B13" i="19"/>
  <c r="B16" i="19"/>
  <c r="C19" i="19"/>
  <c r="B10" i="19"/>
  <c r="C13" i="19"/>
  <c r="C16" i="19"/>
  <c r="C11" i="19"/>
  <c r="D11" i="19" s="1"/>
  <c r="E11" i="19" s="1"/>
  <c r="Q32" i="19"/>
  <c r="Q33" i="19"/>
  <c r="B22" i="19"/>
  <c r="B24" i="19"/>
  <c r="B26" i="19"/>
  <c r="B28" i="19"/>
  <c r="B30" i="19"/>
  <c r="D30" i="19" s="1"/>
  <c r="C22" i="19"/>
  <c r="C24" i="19"/>
  <c r="C26" i="19"/>
  <c r="C28" i="19"/>
  <c r="C30" i="19"/>
  <c r="B21" i="19"/>
  <c r="B23" i="19"/>
  <c r="B25" i="19"/>
  <c r="D25" i="19" s="1"/>
  <c r="E25" i="19" s="1"/>
  <c r="B27" i="19"/>
  <c r="B29" i="19"/>
  <c r="D29" i="19" s="1"/>
  <c r="E29" i="19" s="1"/>
  <c r="C21" i="19"/>
  <c r="C23" i="19"/>
  <c r="C25" i="19"/>
  <c r="C27" i="19"/>
  <c r="D17" i="18"/>
  <c r="E17" i="18" s="1"/>
  <c r="D11" i="18"/>
  <c r="E11" i="18" s="1"/>
  <c r="D19" i="18"/>
  <c r="E19" i="18" s="1"/>
  <c r="B15" i="18"/>
  <c r="D29" i="18"/>
  <c r="E29" i="18" s="1"/>
  <c r="C15" i="18"/>
  <c r="Q33" i="18"/>
  <c r="B10" i="18"/>
  <c r="B12" i="18"/>
  <c r="B14" i="18"/>
  <c r="B16" i="18"/>
  <c r="D16" i="18" s="1"/>
  <c r="E16" i="18" s="1"/>
  <c r="B18" i="18"/>
  <c r="B20" i="18"/>
  <c r="B22" i="18"/>
  <c r="B24" i="18"/>
  <c r="B26" i="18"/>
  <c r="B28" i="18"/>
  <c r="D28" i="18" s="1"/>
  <c r="E28" i="18" s="1"/>
  <c r="B30" i="18"/>
  <c r="C23" i="18"/>
  <c r="C27" i="18"/>
  <c r="C10" i="18"/>
  <c r="C12" i="18"/>
  <c r="C14" i="18"/>
  <c r="C16" i="18"/>
  <c r="C18" i="18"/>
  <c r="C20" i="18"/>
  <c r="C22" i="18"/>
  <c r="C24" i="18"/>
  <c r="C26" i="18"/>
  <c r="C28" i="18"/>
  <c r="C30" i="18"/>
  <c r="B21" i="18"/>
  <c r="D21" i="18" s="1"/>
  <c r="E21" i="18" s="1"/>
  <c r="B23" i="18"/>
  <c r="B25" i="18"/>
  <c r="D25" i="18" s="1"/>
  <c r="E25" i="18" s="1"/>
  <c r="B27" i="18"/>
  <c r="D27" i="18" s="1"/>
  <c r="E27" i="18" s="1"/>
  <c r="C12" i="17"/>
  <c r="C16" i="17"/>
  <c r="B10" i="17"/>
  <c r="B14" i="17"/>
  <c r="C18" i="17"/>
  <c r="C10" i="17"/>
  <c r="C14" i="17"/>
  <c r="B19" i="17"/>
  <c r="D19" i="17" s="1"/>
  <c r="E19" i="17" s="1"/>
  <c r="D20" i="17"/>
  <c r="E20" i="17" s="1"/>
  <c r="B12" i="17"/>
  <c r="D12" i="17" s="1"/>
  <c r="E12" i="17" s="1"/>
  <c r="B16" i="17"/>
  <c r="Q32" i="17"/>
  <c r="Q33" i="17"/>
  <c r="B18" i="17"/>
  <c r="D18" i="17" s="1"/>
  <c r="E18" i="17" s="1"/>
  <c r="B22" i="17"/>
  <c r="B24" i="17"/>
  <c r="D24" i="17" s="1"/>
  <c r="E24" i="17" s="1"/>
  <c r="B26" i="17"/>
  <c r="B28" i="17"/>
  <c r="B30" i="17"/>
  <c r="C22" i="17"/>
  <c r="C24" i="17"/>
  <c r="C26" i="17"/>
  <c r="C28" i="17"/>
  <c r="C30" i="17"/>
  <c r="B21" i="17"/>
  <c r="B23" i="17"/>
  <c r="B25" i="17"/>
  <c r="B27" i="17"/>
  <c r="B29" i="17"/>
  <c r="D29" i="17" s="1"/>
  <c r="E29" i="17" s="1"/>
  <c r="C21" i="17"/>
  <c r="C23" i="17"/>
  <c r="C25" i="17"/>
  <c r="C27" i="17"/>
  <c r="C19" i="16"/>
  <c r="C11" i="16"/>
  <c r="C13" i="16"/>
  <c r="B15" i="16"/>
  <c r="C15" i="16"/>
  <c r="B9" i="16"/>
  <c r="B17" i="16"/>
  <c r="C17" i="16"/>
  <c r="B11" i="16"/>
  <c r="D11" i="16" s="1"/>
  <c r="E11" i="16" s="1"/>
  <c r="B19" i="16"/>
  <c r="B13" i="16"/>
  <c r="Q32" i="16"/>
  <c r="Q33" i="16"/>
  <c r="B23" i="16"/>
  <c r="C29" i="16"/>
  <c r="B10" i="16"/>
  <c r="B12" i="16"/>
  <c r="B14" i="16"/>
  <c r="B16" i="16"/>
  <c r="B18" i="16"/>
  <c r="B20" i="16"/>
  <c r="D20" i="16" s="1"/>
  <c r="E20" i="16" s="1"/>
  <c r="B22" i="16"/>
  <c r="B24" i="16"/>
  <c r="B26" i="16"/>
  <c r="B28" i="16"/>
  <c r="B30" i="16"/>
  <c r="B25" i="16"/>
  <c r="D25" i="16" s="1"/>
  <c r="E25" i="16" s="1"/>
  <c r="C27" i="16"/>
  <c r="C10" i="16"/>
  <c r="C12" i="16"/>
  <c r="C14" i="16"/>
  <c r="C16" i="16"/>
  <c r="C18" i="16"/>
  <c r="C22" i="16"/>
  <c r="C24" i="16"/>
  <c r="C26" i="16"/>
  <c r="C28" i="16"/>
  <c r="C30" i="16"/>
  <c r="B27" i="16"/>
  <c r="C23" i="16"/>
  <c r="C21" i="16"/>
  <c r="B29" i="16"/>
  <c r="B21" i="16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24" i="14"/>
  <c r="D29" i="16" l="1"/>
  <c r="E29" i="16" s="1"/>
  <c r="D20" i="19"/>
  <c r="E20" i="19" s="1"/>
  <c r="D9" i="17"/>
  <c r="D14" i="17"/>
  <c r="E14" i="17" s="1"/>
  <c r="D19" i="19"/>
  <c r="E19" i="19" s="1"/>
  <c r="D30" i="16"/>
  <c r="D19" i="16"/>
  <c r="E19" i="16" s="1"/>
  <c r="D25" i="17"/>
  <c r="E25" i="17" s="1"/>
  <c r="D16" i="17"/>
  <c r="E16" i="17" s="1"/>
  <c r="D10" i="17"/>
  <c r="E10" i="17" s="1"/>
  <c r="D16" i="19"/>
  <c r="E16" i="19" s="1"/>
  <c r="D15" i="17"/>
  <c r="E15" i="17" s="1"/>
  <c r="D17" i="17"/>
  <c r="E17" i="17" s="1"/>
  <c r="Q47" i="14"/>
  <c r="D18" i="19"/>
  <c r="E18" i="19" s="1"/>
  <c r="D15" i="19"/>
  <c r="E15" i="19" s="1"/>
  <c r="D21" i="19"/>
  <c r="E21" i="19" s="1"/>
  <c r="D26" i="19"/>
  <c r="E26" i="19" s="1"/>
  <c r="D9" i="19"/>
  <c r="D10" i="19"/>
  <c r="E10" i="19" s="1"/>
  <c r="D12" i="19"/>
  <c r="E12" i="19" s="1"/>
  <c r="D13" i="19"/>
  <c r="E13" i="19" s="1"/>
  <c r="D23" i="19"/>
  <c r="E23" i="19" s="1"/>
  <c r="D28" i="19"/>
  <c r="E28" i="19" s="1"/>
  <c r="D27" i="19"/>
  <c r="E27" i="19" s="1"/>
  <c r="D24" i="19"/>
  <c r="E24" i="19" s="1"/>
  <c r="D22" i="19"/>
  <c r="E22" i="19" s="1"/>
  <c r="D24" i="18"/>
  <c r="E24" i="18" s="1"/>
  <c r="D22" i="18"/>
  <c r="E22" i="18" s="1"/>
  <c r="D15" i="18"/>
  <c r="E15" i="18" s="1"/>
  <c r="D23" i="18"/>
  <c r="E23" i="18" s="1"/>
  <c r="D20" i="18"/>
  <c r="E20" i="18" s="1"/>
  <c r="D18" i="18"/>
  <c r="E18" i="18" s="1"/>
  <c r="D30" i="18"/>
  <c r="D14" i="18"/>
  <c r="E14" i="18" s="1"/>
  <c r="D12" i="18"/>
  <c r="E12" i="18" s="1"/>
  <c r="D26" i="18"/>
  <c r="E26" i="18" s="1"/>
  <c r="D10" i="18"/>
  <c r="E10" i="18" s="1"/>
  <c r="D27" i="17"/>
  <c r="E27" i="17" s="1"/>
  <c r="D21" i="17"/>
  <c r="E21" i="17" s="1"/>
  <c r="D26" i="17"/>
  <c r="E26" i="17" s="1"/>
  <c r="D30" i="17"/>
  <c r="D23" i="17"/>
  <c r="E23" i="17" s="1"/>
  <c r="D28" i="17"/>
  <c r="E28" i="17" s="1"/>
  <c r="D22" i="17"/>
  <c r="E22" i="17" s="1"/>
  <c r="D9" i="16"/>
  <c r="D18" i="16"/>
  <c r="E18" i="16" s="1"/>
  <c r="D13" i="16"/>
  <c r="E13" i="16" s="1"/>
  <c r="D12" i="16"/>
  <c r="E12" i="16" s="1"/>
  <c r="D17" i="16"/>
  <c r="E17" i="16" s="1"/>
  <c r="D15" i="16"/>
  <c r="E15" i="16" s="1"/>
  <c r="D21" i="16"/>
  <c r="E21" i="16" s="1"/>
  <c r="D16" i="16"/>
  <c r="E16" i="16" s="1"/>
  <c r="D14" i="16"/>
  <c r="E14" i="16" s="1"/>
  <c r="D28" i="16"/>
  <c r="E28" i="16" s="1"/>
  <c r="D26" i="16"/>
  <c r="E26" i="16" s="1"/>
  <c r="D10" i="16"/>
  <c r="E10" i="16" s="1"/>
  <c r="D24" i="16"/>
  <c r="E24" i="16" s="1"/>
  <c r="D27" i="16"/>
  <c r="E27" i="16" s="1"/>
  <c r="D22" i="16"/>
  <c r="E22" i="16" s="1"/>
  <c r="D23" i="16"/>
  <c r="E23" i="16" s="1"/>
  <c r="G24" i="14" l="1"/>
  <c r="H24" i="14"/>
  <c r="I24" i="14"/>
  <c r="J24" i="14"/>
  <c r="K24" i="14"/>
  <c r="L24" i="14"/>
  <c r="M24" i="14"/>
  <c r="N24" i="14"/>
  <c r="O24" i="14"/>
  <c r="P24" i="14"/>
  <c r="G26" i="14"/>
  <c r="H26" i="14"/>
  <c r="I26" i="14"/>
  <c r="J26" i="14"/>
  <c r="K26" i="14"/>
  <c r="L26" i="14"/>
  <c r="L47" i="14" s="1"/>
  <c r="M26" i="14"/>
  <c r="N26" i="14"/>
  <c r="P26" i="14"/>
  <c r="G27" i="14"/>
  <c r="H27" i="14"/>
  <c r="I27" i="14"/>
  <c r="J27" i="14"/>
  <c r="K27" i="14"/>
  <c r="L27" i="14"/>
  <c r="M27" i="14"/>
  <c r="N27" i="14"/>
  <c r="O27" i="14"/>
  <c r="P27" i="14"/>
  <c r="G28" i="14"/>
  <c r="H28" i="14"/>
  <c r="I28" i="14"/>
  <c r="J28" i="14"/>
  <c r="K28" i="14"/>
  <c r="L28" i="14"/>
  <c r="M28" i="14"/>
  <c r="N28" i="14"/>
  <c r="O28" i="14"/>
  <c r="P28" i="14"/>
  <c r="G29" i="14"/>
  <c r="H29" i="14"/>
  <c r="I29" i="14"/>
  <c r="J29" i="14"/>
  <c r="K29" i="14"/>
  <c r="L29" i="14"/>
  <c r="M29" i="14"/>
  <c r="N29" i="14"/>
  <c r="O29" i="14"/>
  <c r="P29" i="14"/>
  <c r="G30" i="14"/>
  <c r="H30" i="14"/>
  <c r="I30" i="14"/>
  <c r="J30" i="14"/>
  <c r="K30" i="14"/>
  <c r="L30" i="14"/>
  <c r="M30" i="14"/>
  <c r="N30" i="14"/>
  <c r="O30" i="14"/>
  <c r="P30" i="14"/>
  <c r="G31" i="14"/>
  <c r="H31" i="14"/>
  <c r="I31" i="14"/>
  <c r="J31" i="14"/>
  <c r="K31" i="14"/>
  <c r="L31" i="14"/>
  <c r="M31" i="14"/>
  <c r="N31" i="14"/>
  <c r="O31" i="14"/>
  <c r="P31" i="14"/>
  <c r="G32" i="14"/>
  <c r="H32" i="14"/>
  <c r="I32" i="14"/>
  <c r="J32" i="14"/>
  <c r="K32" i="14"/>
  <c r="L32" i="14"/>
  <c r="M32" i="14"/>
  <c r="N32" i="14"/>
  <c r="O32" i="14"/>
  <c r="P32" i="14"/>
  <c r="G33" i="14"/>
  <c r="H33" i="14"/>
  <c r="I33" i="14"/>
  <c r="J33" i="14"/>
  <c r="K33" i="14"/>
  <c r="L33" i="14"/>
  <c r="M33" i="14"/>
  <c r="N33" i="14"/>
  <c r="O33" i="14"/>
  <c r="P33" i="14"/>
  <c r="G34" i="14"/>
  <c r="H34" i="14"/>
  <c r="I34" i="14"/>
  <c r="J34" i="14"/>
  <c r="K34" i="14"/>
  <c r="L34" i="14"/>
  <c r="M34" i="14"/>
  <c r="N34" i="14"/>
  <c r="O34" i="14"/>
  <c r="P34" i="14"/>
  <c r="G35" i="14"/>
  <c r="H35" i="14"/>
  <c r="I35" i="14"/>
  <c r="J35" i="14"/>
  <c r="K35" i="14"/>
  <c r="L35" i="14"/>
  <c r="M35" i="14"/>
  <c r="N35" i="14"/>
  <c r="O35" i="14"/>
  <c r="P35" i="14"/>
  <c r="G36" i="14"/>
  <c r="H36" i="14"/>
  <c r="I36" i="14"/>
  <c r="J36" i="14"/>
  <c r="K36" i="14"/>
  <c r="L36" i="14"/>
  <c r="M36" i="14"/>
  <c r="N36" i="14"/>
  <c r="O36" i="14"/>
  <c r="P36" i="14"/>
  <c r="G37" i="14"/>
  <c r="H37" i="14"/>
  <c r="I37" i="14"/>
  <c r="J37" i="14"/>
  <c r="K37" i="14"/>
  <c r="L37" i="14"/>
  <c r="M37" i="14"/>
  <c r="N37" i="14"/>
  <c r="O37" i="14"/>
  <c r="P37" i="14"/>
  <c r="G38" i="14"/>
  <c r="H38" i="14"/>
  <c r="I38" i="14"/>
  <c r="J38" i="14"/>
  <c r="K38" i="14"/>
  <c r="L38" i="14"/>
  <c r="M38" i="14"/>
  <c r="N38" i="14"/>
  <c r="O38" i="14"/>
  <c r="P38" i="14"/>
  <c r="G39" i="14"/>
  <c r="H39" i="14"/>
  <c r="I39" i="14"/>
  <c r="J39" i="14"/>
  <c r="K39" i="14"/>
  <c r="L39" i="14"/>
  <c r="M39" i="14"/>
  <c r="N39" i="14"/>
  <c r="O39" i="14"/>
  <c r="P39" i="14"/>
  <c r="G40" i="14"/>
  <c r="H40" i="14"/>
  <c r="I40" i="14"/>
  <c r="J40" i="14"/>
  <c r="K40" i="14"/>
  <c r="L40" i="14"/>
  <c r="M40" i="14"/>
  <c r="N40" i="14"/>
  <c r="O40" i="14"/>
  <c r="P40" i="14"/>
  <c r="G41" i="14"/>
  <c r="H41" i="14"/>
  <c r="I41" i="14"/>
  <c r="J41" i="14"/>
  <c r="K41" i="14"/>
  <c r="L41" i="14"/>
  <c r="M41" i="14"/>
  <c r="N41" i="14"/>
  <c r="O41" i="14"/>
  <c r="P41" i="14"/>
  <c r="G42" i="14"/>
  <c r="H42" i="14"/>
  <c r="I42" i="14"/>
  <c r="J42" i="14"/>
  <c r="K42" i="14"/>
  <c r="L42" i="14"/>
  <c r="M42" i="14"/>
  <c r="N42" i="14"/>
  <c r="O42" i="14"/>
  <c r="P42" i="14"/>
  <c r="G43" i="14"/>
  <c r="H43" i="14"/>
  <c r="I43" i="14"/>
  <c r="J43" i="14"/>
  <c r="K43" i="14"/>
  <c r="L43" i="14"/>
  <c r="M43" i="14"/>
  <c r="N43" i="14"/>
  <c r="O43" i="14"/>
  <c r="P43" i="14"/>
  <c r="F43" i="14"/>
  <c r="E43" i="14"/>
  <c r="A43" i="14"/>
  <c r="F42" i="14"/>
  <c r="E42" i="14"/>
  <c r="A42" i="14"/>
  <c r="F41" i="14"/>
  <c r="E41" i="14"/>
  <c r="A41" i="14"/>
  <c r="F40" i="14"/>
  <c r="E40" i="14"/>
  <c r="A40" i="14"/>
  <c r="F39" i="14"/>
  <c r="E39" i="14"/>
  <c r="A39" i="14"/>
  <c r="F38" i="14"/>
  <c r="E38" i="14"/>
  <c r="A38" i="14"/>
  <c r="F37" i="14"/>
  <c r="E37" i="14"/>
  <c r="A37" i="14"/>
  <c r="F36" i="14"/>
  <c r="E36" i="14"/>
  <c r="A36" i="14"/>
  <c r="F35" i="14"/>
  <c r="E35" i="14"/>
  <c r="A35" i="14"/>
  <c r="F34" i="14"/>
  <c r="E34" i="14"/>
  <c r="A34" i="14"/>
  <c r="F33" i="14"/>
  <c r="E33" i="14"/>
  <c r="A33" i="14"/>
  <c r="F32" i="14"/>
  <c r="E32" i="14"/>
  <c r="A32" i="14"/>
  <c r="F31" i="14"/>
  <c r="E31" i="14"/>
  <c r="A31" i="14"/>
  <c r="F30" i="14"/>
  <c r="E30" i="14"/>
  <c r="A30" i="14"/>
  <c r="F29" i="14"/>
  <c r="E29" i="14"/>
  <c r="A29" i="14"/>
  <c r="F28" i="14"/>
  <c r="E28" i="14"/>
  <c r="A28" i="14"/>
  <c r="F27" i="14"/>
  <c r="E27" i="14"/>
  <c r="A27" i="14"/>
  <c r="F26" i="14"/>
  <c r="A26" i="14"/>
  <c r="F24" i="14"/>
  <c r="E24" i="14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A33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A32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A31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A30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A29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A28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A27" i="12"/>
  <c r="V26" i="12"/>
  <c r="U26" i="12"/>
  <c r="T26" i="12"/>
  <c r="S26" i="12"/>
  <c r="R26" i="12"/>
  <c r="Q26" i="12"/>
  <c r="P26" i="12"/>
  <c r="P47" i="12" s="1"/>
  <c r="O26" i="12"/>
  <c r="N26" i="12"/>
  <c r="M26" i="12"/>
  <c r="L26" i="12"/>
  <c r="K26" i="12"/>
  <c r="J26" i="12"/>
  <c r="I26" i="12"/>
  <c r="H26" i="12"/>
  <c r="H47" i="12" s="1"/>
  <c r="G26" i="12"/>
  <c r="F26" i="12"/>
  <c r="E26" i="12"/>
  <c r="A26" i="12"/>
  <c r="V24" i="12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C40" i="11"/>
  <c r="A40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A39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A38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A37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A36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A35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A34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A33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C32" i="11"/>
  <c r="A32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A31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A30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A29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A28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A27" i="11"/>
  <c r="X26" i="11"/>
  <c r="W26" i="11"/>
  <c r="V26" i="11"/>
  <c r="V47" i="11" s="1"/>
  <c r="U26" i="11"/>
  <c r="T26" i="11"/>
  <c r="S26" i="11"/>
  <c r="R26" i="11"/>
  <c r="Q26" i="11"/>
  <c r="P26" i="11"/>
  <c r="O26" i="11"/>
  <c r="N26" i="11"/>
  <c r="N47" i="11" s="1"/>
  <c r="M26" i="11"/>
  <c r="L26" i="11"/>
  <c r="K26" i="11"/>
  <c r="J26" i="11"/>
  <c r="I26" i="11"/>
  <c r="H26" i="11"/>
  <c r="G26" i="11"/>
  <c r="F26" i="11"/>
  <c r="F47" i="11" s="1"/>
  <c r="E26" i="11"/>
  <c r="A26" i="11"/>
  <c r="E25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A27" i="10"/>
  <c r="A28" i="10"/>
  <c r="A29" i="10"/>
  <c r="A30" i="10"/>
  <c r="A31" i="10"/>
  <c r="A32" i="10"/>
  <c r="A33" i="10"/>
  <c r="A34" i="10"/>
  <c r="A35" i="10"/>
  <c r="A36" i="10"/>
  <c r="C36" i="10"/>
  <c r="A37" i="10"/>
  <c r="A38" i="10"/>
  <c r="A39" i="10"/>
  <c r="A40" i="10"/>
  <c r="A41" i="10"/>
  <c r="A42" i="10"/>
  <c r="A43" i="10"/>
  <c r="A44" i="10"/>
  <c r="A45" i="10"/>
  <c r="A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E24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F26" i="13"/>
  <c r="G26" i="13"/>
  <c r="H26" i="13"/>
  <c r="I26" i="13"/>
  <c r="J26" i="13"/>
  <c r="K26" i="13"/>
  <c r="L26" i="13"/>
  <c r="M26" i="13"/>
  <c r="N26" i="13"/>
  <c r="O26" i="13"/>
  <c r="P26" i="13"/>
  <c r="R26" i="13"/>
  <c r="S26" i="13"/>
  <c r="T26" i="13"/>
  <c r="U26" i="13"/>
  <c r="V26" i="13"/>
  <c r="W26" i="13"/>
  <c r="X26" i="13"/>
  <c r="J25" i="14"/>
  <c r="R25" i="11"/>
  <c r="M25" i="11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E2" i="13"/>
  <c r="Q30" i="6"/>
  <c r="Q31" i="6" s="1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3" i="14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3" i="13"/>
  <c r="B4" i="12"/>
  <c r="C27" i="12" s="1"/>
  <c r="B5" i="12"/>
  <c r="C28" i="12" s="1"/>
  <c r="B6" i="12"/>
  <c r="C29" i="12" s="1"/>
  <c r="B7" i="12"/>
  <c r="C30" i="12" s="1"/>
  <c r="B8" i="12"/>
  <c r="C31" i="12" s="1"/>
  <c r="B9" i="12"/>
  <c r="C32" i="12" s="1"/>
  <c r="B10" i="12"/>
  <c r="C33" i="12" s="1"/>
  <c r="B3" i="12"/>
  <c r="C26" i="12" s="1"/>
  <c r="B6" i="6"/>
  <c r="B22" i="6" s="1"/>
  <c r="B5" i="6"/>
  <c r="B17" i="11"/>
  <c r="B16" i="11"/>
  <c r="C39" i="11" s="1"/>
  <c r="B15" i="11"/>
  <c r="C38" i="11" s="1"/>
  <c r="B14" i="11"/>
  <c r="C37" i="11" s="1"/>
  <c r="B13" i="11"/>
  <c r="C36" i="11" s="1"/>
  <c r="B12" i="11"/>
  <c r="C35" i="11" s="1"/>
  <c r="B11" i="11"/>
  <c r="C34" i="11" s="1"/>
  <c r="B10" i="11"/>
  <c r="C33" i="11" s="1"/>
  <c r="B9" i="11"/>
  <c r="B8" i="11"/>
  <c r="C31" i="11" s="1"/>
  <c r="B7" i="11"/>
  <c r="C30" i="11" s="1"/>
  <c r="B6" i="11"/>
  <c r="C29" i="11" s="1"/>
  <c r="B5" i="11"/>
  <c r="C28" i="11" s="1"/>
  <c r="B4" i="11"/>
  <c r="C27" i="11" s="1"/>
  <c r="B3" i="11"/>
  <c r="B18" i="10"/>
  <c r="C41" i="10" s="1"/>
  <c r="B19" i="10"/>
  <c r="C42" i="10" s="1"/>
  <c r="B20" i="10"/>
  <c r="C43" i="10" s="1"/>
  <c r="B21" i="10"/>
  <c r="C44" i="10" s="1"/>
  <c r="B22" i="10"/>
  <c r="C45" i="10" s="1"/>
  <c r="B17" i="10"/>
  <c r="C40" i="10" s="1"/>
  <c r="B16" i="10"/>
  <c r="C39" i="10" s="1"/>
  <c r="B15" i="10"/>
  <c r="C38" i="10" s="1"/>
  <c r="B14" i="10"/>
  <c r="C37" i="10" s="1"/>
  <c r="B13" i="10"/>
  <c r="B12" i="10"/>
  <c r="C35" i="10" s="1"/>
  <c r="B11" i="10"/>
  <c r="C34" i="10" s="1"/>
  <c r="B10" i="10"/>
  <c r="C33" i="10" s="1"/>
  <c r="B9" i="10"/>
  <c r="C32" i="10" s="1"/>
  <c r="B8" i="10"/>
  <c r="C31" i="10" s="1"/>
  <c r="B7" i="10"/>
  <c r="C30" i="10" s="1"/>
  <c r="B6" i="10"/>
  <c r="C29" i="10" s="1"/>
  <c r="B5" i="10"/>
  <c r="C28" i="10" s="1"/>
  <c r="B4" i="10"/>
  <c r="C27" i="10" s="1"/>
  <c r="B3" i="10"/>
  <c r="C26" i="10" s="1"/>
  <c r="H47" i="10" l="1"/>
  <c r="W47" i="10"/>
  <c r="O47" i="10"/>
  <c r="G47" i="10"/>
  <c r="G47" i="11"/>
  <c r="O47" i="11"/>
  <c r="W47" i="11"/>
  <c r="E47" i="14"/>
  <c r="K47" i="14"/>
  <c r="V47" i="10"/>
  <c r="N47" i="10"/>
  <c r="F47" i="10"/>
  <c r="H47" i="11"/>
  <c r="P47" i="11"/>
  <c r="X47" i="11"/>
  <c r="J47" i="14"/>
  <c r="U47" i="10"/>
  <c r="M47" i="10"/>
  <c r="E47" i="10"/>
  <c r="I47" i="11"/>
  <c r="Q47" i="11"/>
  <c r="I47" i="14"/>
  <c r="AD25" i="10"/>
  <c r="AE25" i="10"/>
  <c r="AF25" i="10"/>
  <c r="AG25" i="10"/>
  <c r="AO25" i="10"/>
  <c r="AW25" i="10"/>
  <c r="AB25" i="10"/>
  <c r="BE25" i="10"/>
  <c r="E25" i="10"/>
  <c r="AC25" i="10"/>
  <c r="CC25" i="10"/>
  <c r="CK25" i="10"/>
  <c r="AT25" i="10"/>
  <c r="CA25" i="10"/>
  <c r="BA25" i="10"/>
  <c r="AZ25" i="10"/>
  <c r="BC25" i="10"/>
  <c r="AQ25" i="10"/>
  <c r="AP25" i="10"/>
  <c r="BO25" i="10"/>
  <c r="BD25" i="10"/>
  <c r="BG25" i="10"/>
  <c r="BH25" i="10"/>
  <c r="BU25" i="10"/>
  <c r="AL25" i="10"/>
  <c r="BK25" i="10"/>
  <c r="AS25" i="10"/>
  <c r="AR25" i="10"/>
  <c r="AM25" i="10"/>
  <c r="AI25" i="10"/>
  <c r="BR25" i="10"/>
  <c r="AV25" i="10"/>
  <c r="BP25" i="10"/>
  <c r="AN25" i="10"/>
  <c r="AX25" i="10"/>
  <c r="CP25" i="10"/>
  <c r="CQ25" i="10"/>
  <c r="AU25" i="10"/>
  <c r="AK25" i="10"/>
  <c r="AJ25" i="10"/>
  <c r="CM25" i="10"/>
  <c r="CL25" i="10"/>
  <c r="BL25" i="10"/>
  <c r="BY25" i="10"/>
  <c r="BN25" i="10"/>
  <c r="BF25" i="10"/>
  <c r="BB25" i="10"/>
  <c r="BS25" i="10"/>
  <c r="CH25" i="10"/>
  <c r="BM25" i="10"/>
  <c r="CO25" i="10"/>
  <c r="CN25" i="10"/>
  <c r="CJ25" i="10"/>
  <c r="CE25" i="10"/>
  <c r="CD25" i="10"/>
  <c r="CF25" i="10"/>
  <c r="BV25" i="10"/>
  <c r="BT25" i="10"/>
  <c r="BX25" i="10"/>
  <c r="BJ25" i="10"/>
  <c r="CI25" i="10"/>
  <c r="AY25" i="10"/>
  <c r="BZ25" i="10"/>
  <c r="CB25" i="10"/>
  <c r="CG25" i="10"/>
  <c r="BW25" i="10"/>
  <c r="BQ25" i="10"/>
  <c r="AH25" i="10"/>
  <c r="BI25" i="10"/>
  <c r="T47" i="10"/>
  <c r="L47" i="10"/>
  <c r="J47" i="11"/>
  <c r="R47" i="11"/>
  <c r="L47" i="12"/>
  <c r="T47" i="12"/>
  <c r="O47" i="14"/>
  <c r="H47" i="14"/>
  <c r="X47" i="10"/>
  <c r="AA47" i="10"/>
  <c r="S47" i="10"/>
  <c r="K47" i="10"/>
  <c r="K47" i="11"/>
  <c r="S47" i="11"/>
  <c r="P47" i="14"/>
  <c r="G47" i="14"/>
  <c r="P47" i="10"/>
  <c r="Z47" i="10"/>
  <c r="R47" i="10"/>
  <c r="J47" i="10"/>
  <c r="L47" i="11"/>
  <c r="T47" i="11"/>
  <c r="N47" i="14"/>
  <c r="Y47" i="10"/>
  <c r="Q47" i="10"/>
  <c r="I47" i="10"/>
  <c r="E47" i="11"/>
  <c r="M47" i="11"/>
  <c r="U47" i="11"/>
  <c r="F47" i="14"/>
  <c r="M47" i="14"/>
  <c r="F47" i="12"/>
  <c r="J47" i="12"/>
  <c r="N47" i="12"/>
  <c r="R47" i="12"/>
  <c r="V47" i="12"/>
  <c r="E47" i="12"/>
  <c r="I47" i="12"/>
  <c r="M47" i="12"/>
  <c r="Q47" i="12"/>
  <c r="U47" i="12"/>
  <c r="G47" i="12"/>
  <c r="K47" i="12"/>
  <c r="O47" i="12"/>
  <c r="S47" i="12"/>
  <c r="G48" i="11" a="1"/>
  <c r="G48" i="11" s="1"/>
  <c r="BL48" i="11" a="1"/>
  <c r="BL48" i="11" s="1"/>
  <c r="BM48" i="11" a="1"/>
  <c r="BM48" i="11" s="1"/>
  <c r="BA48" i="11" a="1"/>
  <c r="BA48" i="11" s="1"/>
  <c r="AO48" i="11" a="1"/>
  <c r="AO48" i="11" s="1"/>
  <c r="P48" i="11" a="1"/>
  <c r="P48" i="11" s="1"/>
  <c r="CB48" i="11" a="1"/>
  <c r="CB48" i="11" s="1"/>
  <c r="BP48" i="11" a="1"/>
  <c r="BP48" i="11" s="1"/>
  <c r="AX48" i="11" a="1"/>
  <c r="AX48" i="11" s="1"/>
  <c r="AR48" i="11" a="1"/>
  <c r="AR48" i="11" s="1"/>
  <c r="F48" i="11" a="1"/>
  <c r="F48" i="11" s="1"/>
  <c r="CA48" i="11" a="1"/>
  <c r="CA48" i="11" s="1"/>
  <c r="V48" i="11" a="1"/>
  <c r="V48" i="11" s="1"/>
  <c r="AE48" i="11" a="1"/>
  <c r="AE48" i="11" s="1"/>
  <c r="BV48" i="11" a="1"/>
  <c r="BV48" i="11" s="1"/>
  <c r="M48" i="11" a="1"/>
  <c r="M48" i="11" s="1"/>
  <c r="BY48" i="11" a="1"/>
  <c r="BY48" i="11" s="1"/>
  <c r="BS48" i="11" a="1"/>
  <c r="BS48" i="11" s="1"/>
  <c r="BG48" i="11" a="1"/>
  <c r="BG48" i="11" s="1"/>
  <c r="AU48" i="11" a="1"/>
  <c r="AU48" i="11" s="1"/>
  <c r="AC48" i="11" a="1"/>
  <c r="AC48" i="11" s="1"/>
  <c r="Q48" i="11" a="1"/>
  <c r="Q48" i="11" s="1"/>
  <c r="CC48" i="11" a="1"/>
  <c r="CC48" i="11" s="1"/>
  <c r="BD48" i="11" a="1"/>
  <c r="BD48" i="11" s="1"/>
  <c r="BE48" i="11" a="1"/>
  <c r="BE48" i="11" s="1"/>
  <c r="W48" i="11" a="1"/>
  <c r="W48" i="11" s="1"/>
  <c r="BK48" i="11" a="1"/>
  <c r="BK48" i="11" s="1"/>
  <c r="Y48" i="11" a="1"/>
  <c r="Y48" i="11" s="1"/>
  <c r="AH48" i="11" a="1"/>
  <c r="AH48" i="11" s="1"/>
  <c r="BC48" i="11" a="1"/>
  <c r="BC48" i="11" s="1"/>
  <c r="AB48" i="11" a="1"/>
  <c r="AB48" i="11" s="1"/>
  <c r="S48" i="11" a="1"/>
  <c r="S48" i="11" s="1"/>
  <c r="N48" i="11" a="1"/>
  <c r="N48" i="11" s="1"/>
  <c r="BZ48" i="11" a="1"/>
  <c r="BZ48" i="11" s="1"/>
  <c r="BN48" i="11" a="1"/>
  <c r="BN48" i="11" s="1"/>
  <c r="BB48" i="11" a="1"/>
  <c r="BB48" i="11" s="1"/>
  <c r="AI48" i="11" a="1"/>
  <c r="AI48" i="11" s="1"/>
  <c r="BQ48" i="11" a="1"/>
  <c r="BQ48" i="11" s="1"/>
  <c r="AW48" i="11" a="1"/>
  <c r="AW48" i="11" s="1"/>
  <c r="BO48" i="11" a="1"/>
  <c r="BO48" i="11" s="1"/>
  <c r="BF48" i="11" a="1"/>
  <c r="BF48" i="11" s="1"/>
  <c r="AQ48" i="11" a="1"/>
  <c r="AQ48" i="11" s="1"/>
  <c r="Z48" i="11" a="1"/>
  <c r="Z48" i="11" s="1"/>
  <c r="T48" i="11" a="1"/>
  <c r="T48" i="11" s="1"/>
  <c r="H48" i="11" a="1"/>
  <c r="H48" i="11" s="1"/>
  <c r="BT48" i="11" a="1"/>
  <c r="BT48" i="11" s="1"/>
  <c r="BH48" i="11" a="1"/>
  <c r="BH48" i="11" s="1"/>
  <c r="AP48" i="11" a="1"/>
  <c r="AP48" i="11" s="1"/>
  <c r="AD48" i="11" a="1"/>
  <c r="AD48" i="11" s="1"/>
  <c r="K48" i="11" a="1"/>
  <c r="K48" i="11" s="1"/>
  <c r="BW48" i="11" a="1"/>
  <c r="BW48" i="11" s="1"/>
  <c r="BR48" i="11" a="1"/>
  <c r="BR48" i="11" s="1"/>
  <c r="AM48" i="11" a="1"/>
  <c r="AM48" i="11" s="1"/>
  <c r="O48" i="11" a="1"/>
  <c r="O48" i="11" s="1"/>
  <c r="X48" i="11" a="1"/>
  <c r="X48" i="11" s="1"/>
  <c r="E48" i="11" a="1"/>
  <c r="E48" i="11" s="1"/>
  <c r="AZ48" i="11" a="1"/>
  <c r="AZ48" i="11" s="1"/>
  <c r="BJ48" i="11" a="1"/>
  <c r="BJ48" i="11" s="1"/>
  <c r="AF48" i="11" a="1"/>
  <c r="AF48" i="11" s="1"/>
  <c r="AG48" i="11" a="1"/>
  <c r="AG48" i="11" s="1"/>
  <c r="U48" i="11" a="1"/>
  <c r="U48" i="11" s="1"/>
  <c r="I48" i="11" a="1"/>
  <c r="I48" i="11" s="1"/>
  <c r="BU48" i="11" a="1"/>
  <c r="BU48" i="11" s="1"/>
  <c r="AV48" i="11" a="1"/>
  <c r="AV48" i="11" s="1"/>
  <c r="AJ48" i="11" a="1"/>
  <c r="AJ48" i="11" s="1"/>
  <c r="R48" i="11" a="1"/>
  <c r="R48" i="11" s="1"/>
  <c r="L48" i="11" a="1"/>
  <c r="L48" i="11" s="1"/>
  <c r="BX48" i="11" a="1"/>
  <c r="BX48" i="11" s="1"/>
  <c r="AS48" i="11" a="1"/>
  <c r="AS48" i="11" s="1"/>
  <c r="AA48" i="11" a="1"/>
  <c r="AA48" i="11" s="1"/>
  <c r="BI48" i="11" a="1"/>
  <c r="BI48" i="11" s="1"/>
  <c r="AT48" i="11" a="1"/>
  <c r="AT48" i="11" s="1"/>
  <c r="AK48" i="11" a="1"/>
  <c r="AK48" i="11" s="1"/>
  <c r="AN48" i="11" a="1"/>
  <c r="AN48" i="11" s="1"/>
  <c r="AL48" i="11" a="1"/>
  <c r="AL48" i="11" s="1"/>
  <c r="AY48" i="11" a="1"/>
  <c r="AY48" i="11" s="1"/>
  <c r="J48" i="11" a="1"/>
  <c r="J48" i="11" s="1"/>
  <c r="F48" i="10" a="1"/>
  <c r="F48" i="10" s="1"/>
  <c r="S48" i="10" a="1"/>
  <c r="S48" i="10" s="1"/>
  <c r="Y48" i="10" a="1"/>
  <c r="Y48" i="10" s="1"/>
  <c r="AF48" i="10" a="1"/>
  <c r="AF48" i="10" s="1"/>
  <c r="AL48" i="10" a="1"/>
  <c r="AL48" i="10" s="1"/>
  <c r="AY48" i="10" a="1"/>
  <c r="AY48" i="10" s="1"/>
  <c r="BE48" i="10" a="1"/>
  <c r="BE48" i="10" s="1"/>
  <c r="BL48" i="10" a="1"/>
  <c r="BL48" i="10" s="1"/>
  <c r="BR48" i="10" a="1"/>
  <c r="BR48" i="10" s="1"/>
  <c r="CE48" i="10" a="1"/>
  <c r="CE48" i="10" s="1"/>
  <c r="CK48" i="10" a="1"/>
  <c r="CK48" i="10" s="1"/>
  <c r="G48" i="10" a="1"/>
  <c r="G48" i="10" s="1"/>
  <c r="M48" i="10" a="1"/>
  <c r="M48" i="10" s="1"/>
  <c r="T48" i="10" a="1"/>
  <c r="T48" i="10" s="1"/>
  <c r="Z48" i="10" a="1"/>
  <c r="Z48" i="10" s="1"/>
  <c r="AM48" i="10" a="1"/>
  <c r="AM48" i="10" s="1"/>
  <c r="AS48" i="10" a="1"/>
  <c r="AS48" i="10" s="1"/>
  <c r="AZ48" i="10" a="1"/>
  <c r="AZ48" i="10" s="1"/>
  <c r="BF48" i="10" a="1"/>
  <c r="BF48" i="10" s="1"/>
  <c r="BS48" i="10" a="1"/>
  <c r="BS48" i="10" s="1"/>
  <c r="BY48" i="10" a="1"/>
  <c r="BY48" i="10" s="1"/>
  <c r="CF48" i="10" a="1"/>
  <c r="CF48" i="10" s="1"/>
  <c r="CL48" i="10" a="1"/>
  <c r="CL48" i="10" s="1"/>
  <c r="H48" i="10" a="1"/>
  <c r="H48" i="10" s="1"/>
  <c r="N48" i="10" a="1"/>
  <c r="N48" i="10" s="1"/>
  <c r="AA48" i="10" a="1"/>
  <c r="AA48" i="10" s="1"/>
  <c r="AG48" i="10" a="1"/>
  <c r="AG48" i="10" s="1"/>
  <c r="AN48" i="10" a="1"/>
  <c r="AN48" i="10" s="1"/>
  <c r="AT48" i="10" a="1"/>
  <c r="AT48" i="10" s="1"/>
  <c r="BG48" i="10" a="1"/>
  <c r="BG48" i="10" s="1"/>
  <c r="BM48" i="10" a="1"/>
  <c r="BM48" i="10" s="1"/>
  <c r="BT48" i="10" a="1"/>
  <c r="BT48" i="10" s="1"/>
  <c r="BZ48" i="10" a="1"/>
  <c r="BZ48" i="10" s="1"/>
  <c r="CM48" i="10" a="1"/>
  <c r="CM48" i="10" s="1"/>
  <c r="O48" i="10" a="1"/>
  <c r="O48" i="10" s="1"/>
  <c r="U48" i="10" a="1"/>
  <c r="U48" i="10" s="1"/>
  <c r="AB48" i="10" a="1"/>
  <c r="AB48" i="10" s="1"/>
  <c r="AH48" i="10" a="1"/>
  <c r="AH48" i="10" s="1"/>
  <c r="AU48" i="10" a="1"/>
  <c r="AU48" i="10" s="1"/>
  <c r="BA48" i="10" a="1"/>
  <c r="BA48" i="10" s="1"/>
  <c r="BH48" i="10" a="1"/>
  <c r="BH48" i="10" s="1"/>
  <c r="BN48" i="10" a="1"/>
  <c r="BN48" i="10" s="1"/>
  <c r="CA48" i="10" a="1"/>
  <c r="CA48" i="10" s="1"/>
  <c r="CG48" i="10" a="1"/>
  <c r="CG48" i="10" s="1"/>
  <c r="CN48" i="10" a="1"/>
  <c r="CN48" i="10" s="1"/>
  <c r="E48" i="10" a="1"/>
  <c r="E48" i="10" s="1"/>
  <c r="I48" i="10" a="1"/>
  <c r="I48" i="10" s="1"/>
  <c r="P48" i="10" a="1"/>
  <c r="P48" i="10" s="1"/>
  <c r="V48" i="10" a="1"/>
  <c r="V48" i="10" s="1"/>
  <c r="AI48" i="10" a="1"/>
  <c r="AI48" i="10" s="1"/>
  <c r="AO48" i="10" a="1"/>
  <c r="AO48" i="10" s="1"/>
  <c r="AV48" i="10" a="1"/>
  <c r="AV48" i="10" s="1"/>
  <c r="BB48" i="10" a="1"/>
  <c r="BB48" i="10" s="1"/>
  <c r="BO48" i="10" a="1"/>
  <c r="BO48" i="10" s="1"/>
  <c r="BU48" i="10" a="1"/>
  <c r="BU48" i="10" s="1"/>
  <c r="CB48" i="10" a="1"/>
  <c r="CB48" i="10" s="1"/>
  <c r="CH48" i="10" a="1"/>
  <c r="CH48" i="10" s="1"/>
  <c r="J48" i="10" a="1"/>
  <c r="J48" i="10" s="1"/>
  <c r="W48" i="10" a="1"/>
  <c r="W48" i="10" s="1"/>
  <c r="AC48" i="10" a="1"/>
  <c r="AC48" i="10" s="1"/>
  <c r="AJ48" i="10" a="1"/>
  <c r="AJ48" i="10" s="1"/>
  <c r="AP48" i="10" a="1"/>
  <c r="AP48" i="10" s="1"/>
  <c r="BC48" i="10" a="1"/>
  <c r="BC48" i="10" s="1"/>
  <c r="BI48" i="10" a="1"/>
  <c r="BI48" i="10" s="1"/>
  <c r="BP48" i="10" a="1"/>
  <c r="BP48" i="10" s="1"/>
  <c r="BV48" i="10" a="1"/>
  <c r="BV48" i="10" s="1"/>
  <c r="CI48" i="10" a="1"/>
  <c r="CI48" i="10" s="1"/>
  <c r="CO48" i="10" a="1"/>
  <c r="CO48" i="10" s="1"/>
  <c r="K48" i="10" a="1"/>
  <c r="K48" i="10" s="1"/>
  <c r="Q48" i="10" a="1"/>
  <c r="Q48" i="10" s="1"/>
  <c r="X48" i="10" a="1"/>
  <c r="X48" i="10" s="1"/>
  <c r="AD48" i="10" a="1"/>
  <c r="AD48" i="10" s="1"/>
  <c r="AQ48" i="10" a="1"/>
  <c r="AQ48" i="10" s="1"/>
  <c r="AW48" i="10" a="1"/>
  <c r="AW48" i="10" s="1"/>
  <c r="BD48" i="10" a="1"/>
  <c r="BD48" i="10" s="1"/>
  <c r="BJ48" i="10" a="1"/>
  <c r="BJ48" i="10" s="1"/>
  <c r="BW48" i="10" a="1"/>
  <c r="BW48" i="10" s="1"/>
  <c r="CC48" i="10" a="1"/>
  <c r="CC48" i="10" s="1"/>
  <c r="CJ48" i="10" a="1"/>
  <c r="CJ48" i="10" s="1"/>
  <c r="CP48" i="10" a="1"/>
  <c r="CP48" i="10" s="1"/>
  <c r="L48" i="10" a="1"/>
  <c r="L48" i="10" s="1"/>
  <c r="R48" i="10" a="1"/>
  <c r="R48" i="10" s="1"/>
  <c r="AE48" i="10" a="1"/>
  <c r="AE48" i="10" s="1"/>
  <c r="AK48" i="10" a="1"/>
  <c r="AK48" i="10" s="1"/>
  <c r="AR48" i="10" a="1"/>
  <c r="AR48" i="10" s="1"/>
  <c r="AX48" i="10" a="1"/>
  <c r="AX48" i="10" s="1"/>
  <c r="BK48" i="10" a="1"/>
  <c r="BK48" i="10" s="1"/>
  <c r="BQ48" i="10" a="1"/>
  <c r="BQ48" i="10" s="1"/>
  <c r="BX48" i="10" a="1"/>
  <c r="BX48" i="10" s="1"/>
  <c r="CD48" i="10" a="1"/>
  <c r="CD48" i="10" s="1"/>
  <c r="CQ48" i="10" a="1"/>
  <c r="CQ48" i="10" s="1"/>
  <c r="I48" i="12" a="1"/>
  <c r="I48" i="12" s="1"/>
  <c r="Q48" i="12" a="1"/>
  <c r="Q48" i="12" s="1"/>
  <c r="Y48" i="12" a="1"/>
  <c r="Y48" i="12" s="1"/>
  <c r="AG48" i="12" a="1"/>
  <c r="AG48" i="12" s="1"/>
  <c r="AO48" i="12" a="1"/>
  <c r="AO48" i="12" s="1"/>
  <c r="AW48" i="12" a="1"/>
  <c r="AW48" i="12" s="1"/>
  <c r="BE48" i="12" a="1"/>
  <c r="BE48" i="12" s="1"/>
  <c r="J48" i="12" a="1"/>
  <c r="J48" i="12" s="1"/>
  <c r="R48" i="12" a="1"/>
  <c r="R48" i="12" s="1"/>
  <c r="Z48" i="12" a="1"/>
  <c r="Z48" i="12" s="1"/>
  <c r="AH48" i="12" a="1"/>
  <c r="AH48" i="12" s="1"/>
  <c r="AP48" i="12" a="1"/>
  <c r="AP48" i="12" s="1"/>
  <c r="AX48" i="12" a="1"/>
  <c r="AX48" i="12" s="1"/>
  <c r="BF48" i="12" a="1"/>
  <c r="BF48" i="12" s="1"/>
  <c r="K48" i="12" a="1"/>
  <c r="K48" i="12" s="1"/>
  <c r="S48" i="12" a="1"/>
  <c r="S48" i="12" s="1"/>
  <c r="AA48" i="12" a="1"/>
  <c r="AA48" i="12" s="1"/>
  <c r="AI48" i="12" a="1"/>
  <c r="AI48" i="12" s="1"/>
  <c r="AQ48" i="12" a="1"/>
  <c r="AQ48" i="12" s="1"/>
  <c r="AY48" i="12" a="1"/>
  <c r="AY48" i="12" s="1"/>
  <c r="BG48" i="12" a="1"/>
  <c r="BG48" i="12" s="1"/>
  <c r="BJ48" i="12" a="1"/>
  <c r="BJ48" i="12" s="1"/>
  <c r="L48" i="12" a="1"/>
  <c r="L48" i="12" s="1"/>
  <c r="T48" i="12" a="1"/>
  <c r="T48" i="12" s="1"/>
  <c r="AB48" i="12" a="1"/>
  <c r="AB48" i="12" s="1"/>
  <c r="AJ48" i="12" a="1"/>
  <c r="AJ48" i="12" s="1"/>
  <c r="AR48" i="12" a="1"/>
  <c r="AR48" i="12" s="1"/>
  <c r="AZ48" i="12" a="1"/>
  <c r="AZ48" i="12" s="1"/>
  <c r="BH48" i="12" a="1"/>
  <c r="BH48" i="12" s="1"/>
  <c r="E48" i="12" a="1"/>
  <c r="E48" i="12" s="1"/>
  <c r="M48" i="12" a="1"/>
  <c r="M48" i="12" s="1"/>
  <c r="U48" i="12" a="1"/>
  <c r="U48" i="12" s="1"/>
  <c r="AC48" i="12" a="1"/>
  <c r="AC48" i="12" s="1"/>
  <c r="AK48" i="12" a="1"/>
  <c r="AK48" i="12" s="1"/>
  <c r="AS48" i="12" a="1"/>
  <c r="AS48" i="12" s="1"/>
  <c r="BA48" i="12" a="1"/>
  <c r="BA48" i="12" s="1"/>
  <c r="BI48" i="12" a="1"/>
  <c r="BI48" i="12" s="1"/>
  <c r="F48" i="12" a="1"/>
  <c r="F48" i="12" s="1"/>
  <c r="N48" i="12" a="1"/>
  <c r="N48" i="12" s="1"/>
  <c r="V48" i="12" a="1"/>
  <c r="V48" i="12" s="1"/>
  <c r="AD48" i="12" a="1"/>
  <c r="AD48" i="12" s="1"/>
  <c r="AL48" i="12" a="1"/>
  <c r="AL48" i="12" s="1"/>
  <c r="AT48" i="12" a="1"/>
  <c r="AT48" i="12" s="1"/>
  <c r="BB48" i="12" a="1"/>
  <c r="BB48" i="12" s="1"/>
  <c r="G48" i="12" a="1"/>
  <c r="G48" i="12" s="1"/>
  <c r="O48" i="12" a="1"/>
  <c r="O48" i="12" s="1"/>
  <c r="W48" i="12" a="1"/>
  <c r="W48" i="12" s="1"/>
  <c r="AE48" i="12" a="1"/>
  <c r="AE48" i="12" s="1"/>
  <c r="AM48" i="12" a="1"/>
  <c r="AM48" i="12" s="1"/>
  <c r="AU48" i="12" a="1"/>
  <c r="AU48" i="12" s="1"/>
  <c r="BC48" i="12" a="1"/>
  <c r="BC48" i="12" s="1"/>
  <c r="H48" i="12" a="1"/>
  <c r="H48" i="12" s="1"/>
  <c r="P48" i="12" a="1"/>
  <c r="P48" i="12" s="1"/>
  <c r="X48" i="12" a="1"/>
  <c r="X48" i="12" s="1"/>
  <c r="AF48" i="12" a="1"/>
  <c r="AF48" i="12" s="1"/>
  <c r="AN48" i="12" a="1"/>
  <c r="AN48" i="12" s="1"/>
  <c r="AV48" i="12" a="1"/>
  <c r="AV48" i="12" s="1"/>
  <c r="BD48" i="12" a="1"/>
  <c r="BD48" i="12" s="1"/>
  <c r="V47" i="13"/>
  <c r="V48" i="13" a="1"/>
  <c r="V48" i="13" s="1"/>
  <c r="R47" i="13"/>
  <c r="R48" i="13" a="1"/>
  <c r="R48" i="13" s="1"/>
  <c r="I47" i="13"/>
  <c r="I48" i="13" a="1"/>
  <c r="I48" i="13" s="1"/>
  <c r="P47" i="13"/>
  <c r="P48" i="13" a="1"/>
  <c r="P48" i="13" s="1"/>
  <c r="H47" i="13"/>
  <c r="H48" i="13" a="1"/>
  <c r="H48" i="13" s="1"/>
  <c r="X47" i="13"/>
  <c r="X48" i="13" a="1"/>
  <c r="X48" i="13" s="1"/>
  <c r="O47" i="13"/>
  <c r="O48" i="13" a="1"/>
  <c r="O48" i="13" s="1"/>
  <c r="G47" i="13"/>
  <c r="G48" i="13" a="1"/>
  <c r="G48" i="13" s="1"/>
  <c r="E48" i="13" a="1"/>
  <c r="E48" i="13" s="1"/>
  <c r="W47" i="13"/>
  <c r="W48" i="13" a="1"/>
  <c r="W48" i="13" s="1"/>
  <c r="N47" i="13"/>
  <c r="N48" i="13" a="1"/>
  <c r="N48" i="13" s="1"/>
  <c r="F47" i="13"/>
  <c r="F48" i="13" a="1"/>
  <c r="F48" i="13" s="1"/>
  <c r="M47" i="13"/>
  <c r="M48" i="13" a="1"/>
  <c r="M48" i="13" s="1"/>
  <c r="U47" i="13"/>
  <c r="U48" i="13" a="1"/>
  <c r="U48" i="13" s="1"/>
  <c r="L47" i="13"/>
  <c r="L48" i="13" a="1"/>
  <c r="L48" i="13" s="1"/>
  <c r="T47" i="13"/>
  <c r="T48" i="13" a="1"/>
  <c r="T48" i="13" s="1"/>
  <c r="K47" i="13"/>
  <c r="K48" i="13" a="1"/>
  <c r="K48" i="13" s="1"/>
  <c r="Q47" i="13"/>
  <c r="Q48" i="13" a="1"/>
  <c r="Q48" i="13" s="1"/>
  <c r="S47" i="13"/>
  <c r="S48" i="13" a="1"/>
  <c r="S48" i="13" s="1"/>
  <c r="J47" i="13"/>
  <c r="J48" i="13" a="1"/>
  <c r="J48" i="13" s="1"/>
  <c r="E25" i="13"/>
  <c r="H25" i="13"/>
  <c r="P25" i="13"/>
  <c r="X25" i="13"/>
  <c r="AF25" i="13"/>
  <c r="AN25" i="13"/>
  <c r="AV25" i="13"/>
  <c r="BD25" i="13"/>
  <c r="AH25" i="13"/>
  <c r="AZ25" i="13"/>
  <c r="BA25" i="13"/>
  <c r="I25" i="13"/>
  <c r="Q25" i="13"/>
  <c r="Y25" i="13"/>
  <c r="AG25" i="13"/>
  <c r="AO25" i="13"/>
  <c r="AW25" i="13"/>
  <c r="BE25" i="13"/>
  <c r="U25" i="13"/>
  <c r="Z25" i="13"/>
  <c r="BF25" i="13"/>
  <c r="AJ25" i="13"/>
  <c r="AK25" i="13"/>
  <c r="K25" i="13"/>
  <c r="S25" i="13"/>
  <c r="AA25" i="13"/>
  <c r="AI25" i="13"/>
  <c r="AQ25" i="13"/>
  <c r="AY25" i="13"/>
  <c r="BG25" i="13"/>
  <c r="AB25" i="13"/>
  <c r="AS25" i="13"/>
  <c r="F25" i="13"/>
  <c r="N25" i="13"/>
  <c r="V25" i="13"/>
  <c r="AD25" i="13"/>
  <c r="AL25" i="13"/>
  <c r="AT25" i="13"/>
  <c r="BB25" i="13"/>
  <c r="J25" i="13"/>
  <c r="AX25" i="13"/>
  <c r="T25" i="13"/>
  <c r="BH25" i="13"/>
  <c r="AC25" i="13"/>
  <c r="G25" i="13"/>
  <c r="O25" i="13"/>
  <c r="W25" i="13"/>
  <c r="AE25" i="13"/>
  <c r="AM25" i="13"/>
  <c r="AU25" i="13"/>
  <c r="BC25" i="13"/>
  <c r="R25" i="13"/>
  <c r="AP25" i="13"/>
  <c r="L25" i="13"/>
  <c r="L50" i="13" s="1"/>
  <c r="AR25" i="13"/>
  <c r="M25" i="13"/>
  <c r="E47" i="13"/>
  <c r="C37" i="14"/>
  <c r="C36" i="14"/>
  <c r="C28" i="14"/>
  <c r="C43" i="14"/>
  <c r="C31" i="14"/>
  <c r="C29" i="14"/>
  <c r="C35" i="14"/>
  <c r="C27" i="14"/>
  <c r="C42" i="14"/>
  <c r="C34" i="14"/>
  <c r="C41" i="14"/>
  <c r="C33" i="14"/>
  <c r="C32" i="14"/>
  <c r="C40" i="14"/>
  <c r="C39" i="14"/>
  <c r="C38" i="14"/>
  <c r="C30" i="14"/>
  <c r="Q32" i="6"/>
  <c r="Q33" i="6"/>
  <c r="F25" i="14"/>
  <c r="J50" i="14" s="1"/>
  <c r="Q25" i="14"/>
  <c r="H25" i="12"/>
  <c r="K25" i="11"/>
  <c r="S25" i="11"/>
  <c r="B33" i="11"/>
  <c r="L25" i="14"/>
  <c r="U25" i="11"/>
  <c r="B31" i="11"/>
  <c r="L25" i="11"/>
  <c r="T25" i="11"/>
  <c r="B32" i="11"/>
  <c r="B40" i="11"/>
  <c r="K25" i="14"/>
  <c r="F25" i="11"/>
  <c r="E50" i="11" s="1"/>
  <c r="N25" i="11"/>
  <c r="V25" i="11"/>
  <c r="B30" i="11"/>
  <c r="B38" i="11"/>
  <c r="I25" i="14"/>
  <c r="G25" i="11"/>
  <c r="O25" i="11"/>
  <c r="W25" i="11"/>
  <c r="B29" i="11"/>
  <c r="B37" i="11"/>
  <c r="P25" i="14"/>
  <c r="H25" i="14"/>
  <c r="H50" i="14" s="1"/>
  <c r="H25" i="11"/>
  <c r="P25" i="11"/>
  <c r="X25" i="11"/>
  <c r="B28" i="11"/>
  <c r="B36" i="11"/>
  <c r="O25" i="14"/>
  <c r="G25" i="14"/>
  <c r="I25" i="11"/>
  <c r="I50" i="11" s="1"/>
  <c r="Q25" i="11"/>
  <c r="B27" i="11"/>
  <c r="B35" i="11"/>
  <c r="N25" i="14"/>
  <c r="B39" i="11"/>
  <c r="J25" i="11"/>
  <c r="B26" i="11"/>
  <c r="B34" i="11"/>
  <c r="M25" i="14"/>
  <c r="B33" i="14"/>
  <c r="B41" i="14"/>
  <c r="B30" i="14"/>
  <c r="B38" i="14"/>
  <c r="B27" i="14"/>
  <c r="B32" i="14"/>
  <c r="B40" i="14"/>
  <c r="B35" i="14"/>
  <c r="B43" i="14"/>
  <c r="B29" i="14"/>
  <c r="B37" i="14"/>
  <c r="B26" i="14"/>
  <c r="B34" i="14"/>
  <c r="B42" i="14"/>
  <c r="C26" i="14"/>
  <c r="B31" i="14"/>
  <c r="B39" i="14"/>
  <c r="B28" i="14"/>
  <c r="B36" i="14"/>
  <c r="O25" i="12"/>
  <c r="I25" i="12"/>
  <c r="P25" i="12"/>
  <c r="B26" i="12"/>
  <c r="B28" i="12"/>
  <c r="Q25" i="12"/>
  <c r="J25" i="12"/>
  <c r="B31" i="12"/>
  <c r="R25" i="12"/>
  <c r="K25" i="12"/>
  <c r="S25" i="12"/>
  <c r="B33" i="12"/>
  <c r="L25" i="12"/>
  <c r="T25" i="12"/>
  <c r="B30" i="12"/>
  <c r="E25" i="12"/>
  <c r="M25" i="12"/>
  <c r="U25" i="12"/>
  <c r="B27" i="12"/>
  <c r="F25" i="12"/>
  <c r="F50" i="12" s="1"/>
  <c r="N25" i="12"/>
  <c r="V25" i="12"/>
  <c r="B32" i="12"/>
  <c r="G25" i="12"/>
  <c r="B29" i="12"/>
  <c r="B44" i="10"/>
  <c r="B36" i="10"/>
  <c r="B28" i="10"/>
  <c r="B41" i="10"/>
  <c r="B33" i="10"/>
  <c r="B38" i="10"/>
  <c r="B30" i="10"/>
  <c r="B26" i="10"/>
  <c r="B43" i="10"/>
  <c r="B35" i="10"/>
  <c r="B27" i="10"/>
  <c r="B40" i="10"/>
  <c r="B32" i="10"/>
  <c r="B39" i="10"/>
  <c r="B31" i="10"/>
  <c r="B45" i="10"/>
  <c r="B37" i="10"/>
  <c r="B29" i="10"/>
  <c r="B42" i="10"/>
  <c r="B34" i="10"/>
  <c r="Z25" i="10"/>
  <c r="W25" i="10"/>
  <c r="U25" i="10"/>
  <c r="O25" i="10"/>
  <c r="L25" i="10"/>
  <c r="G25" i="10"/>
  <c r="X25" i="10"/>
  <c r="Q25" i="10"/>
  <c r="K25" i="10"/>
  <c r="R25" i="10"/>
  <c r="T25" i="10"/>
  <c r="N25" i="10"/>
  <c r="J25" i="10"/>
  <c r="S25" i="10"/>
  <c r="I25" i="10"/>
  <c r="I50" i="10" s="1"/>
  <c r="F25" i="10"/>
  <c r="AA25" i="10"/>
  <c r="Y25" i="10"/>
  <c r="V25" i="10"/>
  <c r="P25" i="10"/>
  <c r="M25" i="10"/>
  <c r="H25" i="10"/>
  <c r="C30" i="6"/>
  <c r="B30" i="6"/>
  <c r="C29" i="6"/>
  <c r="B29" i="6"/>
  <c r="C28" i="6"/>
  <c r="B28" i="6"/>
  <c r="C13" i="6"/>
  <c r="C22" i="6"/>
  <c r="D22" i="6" s="1"/>
  <c r="E22" i="6" s="1"/>
  <c r="B16" i="6"/>
  <c r="B27" i="6"/>
  <c r="C26" i="6"/>
  <c r="C24" i="6"/>
  <c r="B23" i="6"/>
  <c r="C20" i="6"/>
  <c r="B18" i="6"/>
  <c r="B19" i="6"/>
  <c r="B17" i="6"/>
  <c r="B10" i="6"/>
  <c r="C12" i="6"/>
  <c r="C25" i="6"/>
  <c r="C21" i="6"/>
  <c r="B9" i="6"/>
  <c r="C11" i="6"/>
  <c r="B25" i="6"/>
  <c r="B21" i="6"/>
  <c r="C9" i="6"/>
  <c r="E1" i="6" s="1"/>
  <c r="C10" i="6"/>
  <c r="B15" i="6"/>
  <c r="C17" i="6"/>
  <c r="C18" i="6"/>
  <c r="B24" i="6"/>
  <c r="B20" i="6"/>
  <c r="B14" i="6"/>
  <c r="C16" i="6"/>
  <c r="C27" i="6"/>
  <c r="C23" i="6"/>
  <c r="C19" i="6"/>
  <c r="B13" i="6"/>
  <c r="C15" i="6"/>
  <c r="B12" i="6"/>
  <c r="C14" i="6"/>
  <c r="B11" i="6"/>
  <c r="B26" i="6"/>
  <c r="D26" i="6" s="1"/>
  <c r="E26" i="6" s="1"/>
  <c r="F7" i="22"/>
  <c r="E7" i="22"/>
  <c r="D5" i="22"/>
  <c r="F5" i="22"/>
  <c r="F6" i="22"/>
  <c r="F3" i="22"/>
  <c r="C4" i="22"/>
  <c r="E3" i="22"/>
  <c r="E5" i="22"/>
  <c r="D3" i="22"/>
  <c r="E6" i="22"/>
  <c r="C7" i="22"/>
  <c r="C5" i="22"/>
  <c r="F4" i="22"/>
  <c r="D4" i="22"/>
  <c r="E4" i="22"/>
  <c r="D6" i="22"/>
  <c r="C6" i="22"/>
  <c r="C3" i="22"/>
  <c r="D7" i="22"/>
  <c r="AA50" i="10" l="1"/>
  <c r="K50" i="10"/>
  <c r="Z50" i="10"/>
  <c r="V50" i="12"/>
  <c r="T50" i="12"/>
  <c r="Q50" i="12"/>
  <c r="P50" i="11"/>
  <c r="G50" i="11"/>
  <c r="S50" i="11"/>
  <c r="AM50" i="13"/>
  <c r="AX50" i="13"/>
  <c r="F50" i="13"/>
  <c r="S50" i="13"/>
  <c r="AW50" i="13"/>
  <c r="AH50" i="13"/>
  <c r="E50" i="13"/>
  <c r="E49" i="13"/>
  <c r="AH50" i="10"/>
  <c r="BJ50" i="10"/>
  <c r="CN50" i="10"/>
  <c r="BY50" i="10"/>
  <c r="CP50" i="10"/>
  <c r="AR50" i="10"/>
  <c r="BO50" i="10"/>
  <c r="CK50" i="10"/>
  <c r="AG50" i="10"/>
  <c r="AT50" i="11"/>
  <c r="AW50" i="11"/>
  <c r="AH50" i="11"/>
  <c r="AQ50" i="11"/>
  <c r="AE50" i="11"/>
  <c r="AB50" i="11"/>
  <c r="AO50" i="11"/>
  <c r="F50" i="10"/>
  <c r="Q50" i="10"/>
  <c r="N50" i="12"/>
  <c r="L50" i="12"/>
  <c r="M50" i="14"/>
  <c r="Q50" i="11"/>
  <c r="H50" i="11"/>
  <c r="I50" i="14"/>
  <c r="K50" i="11"/>
  <c r="M50" i="13"/>
  <c r="AE50" i="13"/>
  <c r="J50" i="13"/>
  <c r="AS50" i="13"/>
  <c r="K50" i="13"/>
  <c r="AO50" i="13"/>
  <c r="BD50" i="13"/>
  <c r="BQ50" i="10"/>
  <c r="BX50" i="10"/>
  <c r="CO50" i="10"/>
  <c r="BL50" i="10"/>
  <c r="AX50" i="10"/>
  <c r="AS50" i="10"/>
  <c r="AP50" i="10"/>
  <c r="CC50" i="10"/>
  <c r="AF50" i="10"/>
  <c r="AS50" i="11"/>
  <c r="BD50" i="11"/>
  <c r="AG50" i="11"/>
  <c r="BY50" i="11"/>
  <c r="BW50" i="11"/>
  <c r="AA50" i="11"/>
  <c r="AM50" i="11"/>
  <c r="X50" i="10"/>
  <c r="T50" i="11"/>
  <c r="H50" i="12"/>
  <c r="AR50" i="13"/>
  <c r="W50" i="13"/>
  <c r="BB50" i="13"/>
  <c r="AB50" i="13"/>
  <c r="AK50" i="13"/>
  <c r="AG50" i="13"/>
  <c r="AV50" i="13"/>
  <c r="BW50" i="10"/>
  <c r="BT50" i="10"/>
  <c r="BM50" i="10"/>
  <c r="CL50" i="10"/>
  <c r="AN50" i="10"/>
  <c r="BK50" i="10"/>
  <c r="AQ50" i="10"/>
  <c r="AC50" i="10"/>
  <c r="AE50" i="10"/>
  <c r="AI50" i="11"/>
  <c r="BC50" i="11"/>
  <c r="BP50" i="11"/>
  <c r="BO50" i="11"/>
  <c r="CC50" i="11"/>
  <c r="AF50" i="11"/>
  <c r="AL50" i="11"/>
  <c r="H50" i="10"/>
  <c r="S50" i="10"/>
  <c r="G50" i="10"/>
  <c r="S50" i="12"/>
  <c r="P50" i="12"/>
  <c r="G50" i="14"/>
  <c r="P50" i="14"/>
  <c r="L50" i="11"/>
  <c r="Q50" i="14"/>
  <c r="O50" i="13"/>
  <c r="AT50" i="13"/>
  <c r="BG50" i="13"/>
  <c r="AJ50" i="13"/>
  <c r="Y50" i="13"/>
  <c r="AN50" i="13"/>
  <c r="CG50" i="10"/>
  <c r="BV50" i="10"/>
  <c r="CH50" i="10"/>
  <c r="CM50" i="10"/>
  <c r="BP50" i="10"/>
  <c r="AL50" i="10"/>
  <c r="BC50" i="10"/>
  <c r="E50" i="10"/>
  <c r="E49" i="10"/>
  <c r="AD50" i="10"/>
  <c r="R50" i="11"/>
  <c r="CA50" i="11"/>
  <c r="BB50" i="11"/>
  <c r="BF50" i="11"/>
  <c r="BN50" i="11"/>
  <c r="BI50" i="11"/>
  <c r="CB50" i="11"/>
  <c r="AK50" i="11"/>
  <c r="M50" i="10"/>
  <c r="J50" i="10"/>
  <c r="L50" i="10"/>
  <c r="U50" i="12"/>
  <c r="K50" i="12"/>
  <c r="I50" i="12"/>
  <c r="J50" i="11"/>
  <c r="O50" i="14"/>
  <c r="V50" i="11"/>
  <c r="F50" i="14"/>
  <c r="Z50" i="14"/>
  <c r="AZ50" i="14"/>
  <c r="BA50" i="14"/>
  <c r="T50" i="14"/>
  <c r="AL50" i="14"/>
  <c r="AE50" i="14"/>
  <c r="AJ50" i="14"/>
  <c r="AV50" i="14"/>
  <c r="AI50" i="14"/>
  <c r="AR50" i="14"/>
  <c r="AS50" i="14"/>
  <c r="AX50" i="14"/>
  <c r="U50" i="14"/>
  <c r="BB50" i="14"/>
  <c r="AG50" i="14"/>
  <c r="BG50" i="14"/>
  <c r="AD50" i="14"/>
  <c r="W50" i="14"/>
  <c r="R50" i="14"/>
  <c r="AA50" i="14"/>
  <c r="AN50" i="14"/>
  <c r="BE50" i="14"/>
  <c r="S50" i="14"/>
  <c r="AK50" i="14"/>
  <c r="AU50" i="14"/>
  <c r="AP50" i="14"/>
  <c r="E50" i="14"/>
  <c r="AY50" i="14"/>
  <c r="AF50" i="14"/>
  <c r="AW50" i="14"/>
  <c r="AB50" i="14"/>
  <c r="Y50" i="14"/>
  <c r="E49" i="14"/>
  <c r="AM50" i="14"/>
  <c r="V50" i="14"/>
  <c r="X50" i="14"/>
  <c r="BF50" i="14"/>
  <c r="BH50" i="14"/>
  <c r="AO50" i="14"/>
  <c r="AT50" i="14"/>
  <c r="AH50" i="14"/>
  <c r="BC50" i="14"/>
  <c r="BD50" i="14"/>
  <c r="AQ50" i="14"/>
  <c r="BI50" i="14"/>
  <c r="AC50" i="14"/>
  <c r="AP50" i="13"/>
  <c r="G50" i="13"/>
  <c r="AL50" i="13"/>
  <c r="AY50" i="13"/>
  <c r="BF50" i="13"/>
  <c r="Q50" i="13"/>
  <c r="AF50" i="13"/>
  <c r="CB50" i="10"/>
  <c r="CF50" i="10"/>
  <c r="BS50" i="10"/>
  <c r="AJ50" i="10"/>
  <c r="AV50" i="10"/>
  <c r="BU50" i="10"/>
  <c r="AZ50" i="10"/>
  <c r="BE50" i="10"/>
  <c r="BA50" i="11"/>
  <c r="AR50" i="11"/>
  <c r="BG50" i="11"/>
  <c r="BM50" i="11"/>
  <c r="BU50" i="11"/>
  <c r="AY50" i="11"/>
  <c r="BX50" i="11"/>
  <c r="AJ50" i="11"/>
  <c r="P50" i="10"/>
  <c r="N50" i="10"/>
  <c r="O50" i="10"/>
  <c r="M50" i="12"/>
  <c r="R50" i="12"/>
  <c r="O50" i="12"/>
  <c r="N50" i="11"/>
  <c r="U50" i="11"/>
  <c r="R50" i="13"/>
  <c r="AC50" i="13"/>
  <c r="AD50" i="13"/>
  <c r="AQ50" i="13"/>
  <c r="Z50" i="13"/>
  <c r="I50" i="13"/>
  <c r="X50" i="13"/>
  <c r="BZ50" i="10"/>
  <c r="CD50" i="10"/>
  <c r="BB50" i="10"/>
  <c r="AK50" i="10"/>
  <c r="BR50" i="10"/>
  <c r="BH50" i="10"/>
  <c r="BA50" i="10"/>
  <c r="AB50" i="10"/>
  <c r="BQ50" i="11"/>
  <c r="Y50" i="11"/>
  <c r="BE50" i="11"/>
  <c r="BT50" i="11"/>
  <c r="BV50" i="11"/>
  <c r="AN50" i="11"/>
  <c r="Z50" i="11"/>
  <c r="V50" i="10"/>
  <c r="T50" i="10"/>
  <c r="U50" i="10"/>
  <c r="G50" i="12"/>
  <c r="E50" i="12"/>
  <c r="E49" i="12"/>
  <c r="AU50" i="12"/>
  <c r="BA50" i="12"/>
  <c r="BG50" i="12"/>
  <c r="AI50" i="12"/>
  <c r="AT50" i="12"/>
  <c r="AW50" i="12"/>
  <c r="AN50" i="12"/>
  <c r="AK50" i="12"/>
  <c r="BF50" i="12"/>
  <c r="AR50" i="12"/>
  <c r="AM50" i="12"/>
  <c r="AA50" i="12"/>
  <c r="AP50" i="12"/>
  <c r="AE50" i="12"/>
  <c r="Z50" i="12"/>
  <c r="AF50" i="12"/>
  <c r="AS50" i="12"/>
  <c r="BC50" i="12"/>
  <c r="AG50" i="12"/>
  <c r="AJ50" i="12"/>
  <c r="AL50" i="12"/>
  <c r="BD50" i="12"/>
  <c r="AY50" i="12"/>
  <c r="BB50" i="12"/>
  <c r="BI50" i="12"/>
  <c r="AB50" i="12"/>
  <c r="W50" i="12"/>
  <c r="AV50" i="12"/>
  <c r="BH50" i="12"/>
  <c r="AC50" i="12"/>
  <c r="BE50" i="12"/>
  <c r="AH50" i="12"/>
  <c r="BJ50" i="12"/>
  <c r="AQ50" i="12"/>
  <c r="AX50" i="12"/>
  <c r="X50" i="12"/>
  <c r="AO50" i="12"/>
  <c r="AZ50" i="12"/>
  <c r="Y50" i="12"/>
  <c r="AD50" i="12"/>
  <c r="N50" i="14"/>
  <c r="W50" i="11"/>
  <c r="F50" i="11"/>
  <c r="L50" i="14"/>
  <c r="BC50" i="13"/>
  <c r="BH50" i="13"/>
  <c r="V50" i="13"/>
  <c r="AI50" i="13"/>
  <c r="U50" i="13"/>
  <c r="BA50" i="13"/>
  <c r="P50" i="13"/>
  <c r="AY50" i="10"/>
  <c r="CE50" i="10"/>
  <c r="BF50" i="10"/>
  <c r="AU50" i="10"/>
  <c r="AI50" i="10"/>
  <c r="BG50" i="10"/>
  <c r="CA50" i="10"/>
  <c r="AW50" i="10"/>
  <c r="AV50" i="11"/>
  <c r="BZ50" i="11"/>
  <c r="BL50" i="11"/>
  <c r="BJ50" i="11"/>
  <c r="AZ50" i="11"/>
  <c r="AD50" i="11"/>
  <c r="BR50" i="11"/>
  <c r="E49" i="11"/>
  <c r="Y50" i="10"/>
  <c r="R50" i="10"/>
  <c r="W50" i="10"/>
  <c r="J50" i="12"/>
  <c r="X50" i="11"/>
  <c r="O50" i="11"/>
  <c r="K50" i="14"/>
  <c r="AU50" i="13"/>
  <c r="T50" i="13"/>
  <c r="N50" i="13"/>
  <c r="AA50" i="13"/>
  <c r="BE50" i="13"/>
  <c r="AZ50" i="13"/>
  <c r="H50" i="13"/>
  <c r="BI50" i="10"/>
  <c r="CI50" i="10"/>
  <c r="CJ50" i="10"/>
  <c r="BN50" i="10"/>
  <c r="CQ50" i="10"/>
  <c r="AM50" i="10"/>
  <c r="BD50" i="10"/>
  <c r="AT50" i="10"/>
  <c r="AO50" i="10"/>
  <c r="AU50" i="11"/>
  <c r="AX50" i="11"/>
  <c r="BK50" i="11"/>
  <c r="BS50" i="11"/>
  <c r="AP50" i="11"/>
  <c r="AC50" i="11"/>
  <c r="BH50" i="11"/>
  <c r="M50" i="11"/>
  <c r="AQ49" i="11"/>
  <c r="J49" i="14"/>
  <c r="F49" i="10"/>
  <c r="Q49" i="10"/>
  <c r="M49" i="14"/>
  <c r="H49" i="11"/>
  <c r="Q49" i="11"/>
  <c r="AT49" i="11"/>
  <c r="AB49" i="11"/>
  <c r="BU49" i="10"/>
  <c r="P49" i="10"/>
  <c r="Y49" i="10"/>
  <c r="R49" i="10"/>
  <c r="W49" i="10"/>
  <c r="X49" i="11"/>
  <c r="O49" i="11"/>
  <c r="K49" i="14"/>
  <c r="R49" i="11"/>
  <c r="BX49" i="11"/>
  <c r="BG49" i="11"/>
  <c r="BO49" i="11"/>
  <c r="BY49" i="11"/>
  <c r="AM49" i="11"/>
  <c r="AX49" i="11"/>
  <c r="BF49" i="11"/>
  <c r="BW49" i="10"/>
  <c r="BT49" i="10"/>
  <c r="BM49" i="10"/>
  <c r="CL49" i="10"/>
  <c r="AN49" i="10"/>
  <c r="BK49" i="10"/>
  <c r="AQ49" i="10"/>
  <c r="AC49" i="10"/>
  <c r="AE49" i="10"/>
  <c r="K49" i="11"/>
  <c r="BS49" i="11"/>
  <c r="AZ49" i="10"/>
  <c r="AA49" i="10"/>
  <c r="K49" i="10"/>
  <c r="Z49" i="10"/>
  <c r="P49" i="11"/>
  <c r="G49" i="11"/>
  <c r="S49" i="11"/>
  <c r="AM49" i="13"/>
  <c r="AL49" i="11"/>
  <c r="AD49" i="11"/>
  <c r="BK49" i="11"/>
  <c r="AV49" i="11"/>
  <c r="Y49" i="11"/>
  <c r="BV49" i="11"/>
  <c r="BW49" i="11"/>
  <c r="CG49" i="10"/>
  <c r="BV49" i="10"/>
  <c r="CH49" i="10"/>
  <c r="CM49" i="10"/>
  <c r="BP49" i="10"/>
  <c r="AL49" i="10"/>
  <c r="BC49" i="10"/>
  <c r="AD49" i="10"/>
  <c r="AS49" i="11"/>
  <c r="BS49" i="10"/>
  <c r="I49" i="10"/>
  <c r="X49" i="10"/>
  <c r="I49" i="11"/>
  <c r="H49" i="14"/>
  <c r="T49" i="11"/>
  <c r="BT49" i="11"/>
  <c r="BC49" i="11"/>
  <c r="BD49" i="11"/>
  <c r="BM49" i="11"/>
  <c r="AJ49" i="11"/>
  <c r="BA49" i="11"/>
  <c r="BB49" i="11"/>
  <c r="M49" i="11"/>
  <c r="BZ49" i="10"/>
  <c r="CD49" i="10"/>
  <c r="BB49" i="10"/>
  <c r="AK49" i="10"/>
  <c r="BR49" i="10"/>
  <c r="BH49" i="10"/>
  <c r="BA49" i="10"/>
  <c r="AB49" i="10"/>
  <c r="I49" i="14"/>
  <c r="BE49" i="11"/>
  <c r="AJ49" i="10"/>
  <c r="H49" i="10"/>
  <c r="S49" i="10"/>
  <c r="G49" i="10"/>
  <c r="G49" i="14"/>
  <c r="P49" i="14"/>
  <c r="L49" i="11"/>
  <c r="Q49" i="14"/>
  <c r="CA49" i="11"/>
  <c r="BI49" i="11"/>
  <c r="BR49" i="11"/>
  <c r="AA49" i="11"/>
  <c r="AR49" i="11"/>
  <c r="BQ49" i="11"/>
  <c r="BJ49" i="11"/>
  <c r="AY49" i="10"/>
  <c r="CE49" i="10"/>
  <c r="BF49" i="10"/>
  <c r="AU49" i="10"/>
  <c r="AI49" i="10"/>
  <c r="BG49" i="10"/>
  <c r="CA49" i="10"/>
  <c r="AW49" i="10"/>
  <c r="AU49" i="11"/>
  <c r="AW49" i="11"/>
  <c r="CF49" i="10"/>
  <c r="M49" i="10"/>
  <c r="J49" i="10"/>
  <c r="L49" i="10"/>
  <c r="J49" i="11"/>
  <c r="O49" i="14"/>
  <c r="V49" i="11"/>
  <c r="F49" i="14"/>
  <c r="BC49" i="14"/>
  <c r="AP49" i="14"/>
  <c r="AT49" i="14"/>
  <c r="BH49" i="14"/>
  <c r="AI49" i="14"/>
  <c r="BE49" i="14"/>
  <c r="AW49" i="14"/>
  <c r="AO49" i="14"/>
  <c r="S49" i="14"/>
  <c r="AC49" i="14"/>
  <c r="AY49" i="14"/>
  <c r="AQ49" i="14"/>
  <c r="R49" i="14"/>
  <c r="AF49" i="14"/>
  <c r="X49" i="14"/>
  <c r="T49" i="14"/>
  <c r="AH49" i="14"/>
  <c r="Z49" i="14"/>
  <c r="AN49" i="14"/>
  <c r="AL49" i="14"/>
  <c r="V49" i="14"/>
  <c r="AA49" i="14"/>
  <c r="BB49" i="14"/>
  <c r="AX49" i="14"/>
  <c r="BD49" i="14"/>
  <c r="AV49" i="14"/>
  <c r="AM49" i="14"/>
  <c r="AD49" i="14"/>
  <c r="AZ49" i="14"/>
  <c r="AK49" i="14"/>
  <c r="AG49" i="14"/>
  <c r="AE49" i="14"/>
  <c r="W49" i="14"/>
  <c r="BG49" i="14"/>
  <c r="AB49" i="14"/>
  <c r="AU49" i="14"/>
  <c r="Y49" i="14"/>
  <c r="U49" i="14"/>
  <c r="BA49" i="14"/>
  <c r="AS49" i="14"/>
  <c r="BF49" i="14"/>
  <c r="BI49" i="14"/>
  <c r="AR49" i="14"/>
  <c r="AJ49" i="14"/>
  <c r="CB49" i="11"/>
  <c r="BU49" i="11"/>
  <c r="BL49" i="11"/>
  <c r="AI49" i="11"/>
  <c r="BH49" i="11"/>
  <c r="AZ49" i="11"/>
  <c r="BZ49" i="11"/>
  <c r="BI49" i="10"/>
  <c r="CI49" i="10"/>
  <c r="CJ49" i="10"/>
  <c r="BN49" i="10"/>
  <c r="CQ49" i="10"/>
  <c r="AM49" i="10"/>
  <c r="BD49" i="10"/>
  <c r="AT49" i="10"/>
  <c r="AO49" i="10"/>
  <c r="AV49" i="10"/>
  <c r="O49" i="10"/>
  <c r="N49" i="11"/>
  <c r="U49" i="11"/>
  <c r="AK49" i="11"/>
  <c r="AH49" i="11"/>
  <c r="CC49" i="11"/>
  <c r="Z49" i="11"/>
  <c r="AY49" i="11"/>
  <c r="AN49" i="11"/>
  <c r="AO49" i="11"/>
  <c r="AH49" i="10"/>
  <c r="BJ49" i="10"/>
  <c r="CN49" i="10"/>
  <c r="BY49" i="10"/>
  <c r="CP49" i="10"/>
  <c r="AR49" i="10"/>
  <c r="BO49" i="10"/>
  <c r="CK49" i="10"/>
  <c r="AG49" i="10"/>
  <c r="CB49" i="10"/>
  <c r="BE49" i="10"/>
  <c r="N49" i="10"/>
  <c r="V49" i="10"/>
  <c r="T49" i="10"/>
  <c r="U49" i="10"/>
  <c r="N49" i="14"/>
  <c r="W49" i="11"/>
  <c r="F49" i="11"/>
  <c r="L49" i="14"/>
  <c r="AF49" i="11"/>
  <c r="AG49" i="11"/>
  <c r="BP49" i="11"/>
  <c r="AP49" i="11"/>
  <c r="AE49" i="11"/>
  <c r="AC49" i="11"/>
  <c r="BN49" i="11"/>
  <c r="BQ49" i="10"/>
  <c r="BX49" i="10"/>
  <c r="CO49" i="10"/>
  <c r="BL49" i="10"/>
  <c r="AX49" i="10"/>
  <c r="AS49" i="10"/>
  <c r="AP49" i="10"/>
  <c r="CC49" i="10"/>
  <c r="AF49" i="10"/>
  <c r="F49" i="12"/>
  <c r="V49" i="12"/>
  <c r="U49" i="12"/>
  <c r="T49" i="12"/>
  <c r="K49" i="12"/>
  <c r="Q49" i="12"/>
  <c r="I49" i="12"/>
  <c r="W49" i="12"/>
  <c r="AD49" i="12"/>
  <c r="AN49" i="12"/>
  <c r="AS49" i="12"/>
  <c r="BB49" i="12"/>
  <c r="AH49" i="12"/>
  <c r="AZ49" i="12"/>
  <c r="BG49" i="12"/>
  <c r="BC49" i="12"/>
  <c r="AM49" i="12"/>
  <c r="AJ49" i="12"/>
  <c r="AC49" i="12"/>
  <c r="AR49" i="12"/>
  <c r="AL49" i="12"/>
  <c r="BE49" i="12"/>
  <c r="AV49" i="12"/>
  <c r="AA49" i="12"/>
  <c r="BF49" i="12"/>
  <c r="AY49" i="12"/>
  <c r="AF49" i="12"/>
  <c r="AO49" i="12"/>
  <c r="BA49" i="12"/>
  <c r="AI49" i="12"/>
  <c r="AX49" i="12"/>
  <c r="BH49" i="12"/>
  <c r="AK49" i="12"/>
  <c r="AU49" i="12"/>
  <c r="AW49" i="12"/>
  <c r="AT49" i="12"/>
  <c r="AP49" i="12"/>
  <c r="BI49" i="12"/>
  <c r="X49" i="12"/>
  <c r="AE49" i="12"/>
  <c r="AB49" i="12"/>
  <c r="Y49" i="12"/>
  <c r="BD49" i="12"/>
  <c r="AG49" i="12"/>
  <c r="Z49" i="12"/>
  <c r="BJ49" i="12"/>
  <c r="AQ49" i="12"/>
  <c r="H49" i="12"/>
  <c r="N49" i="12"/>
  <c r="M49" i="12"/>
  <c r="L49" i="12"/>
  <c r="R49" i="12"/>
  <c r="O49" i="12"/>
  <c r="G49" i="12"/>
  <c r="S49" i="12"/>
  <c r="J49" i="12"/>
  <c r="P49" i="12"/>
  <c r="K48" i="14" a="1"/>
  <c r="K48" i="14" s="1"/>
  <c r="X48" i="14" a="1"/>
  <c r="X48" i="14" s="1"/>
  <c r="AD48" i="14" a="1"/>
  <c r="AD48" i="14" s="1"/>
  <c r="AK48" i="14" a="1"/>
  <c r="AK48" i="14" s="1"/>
  <c r="AQ48" i="14" a="1"/>
  <c r="AQ48" i="14" s="1"/>
  <c r="BD48" i="14" a="1"/>
  <c r="BD48" i="14" s="1"/>
  <c r="L48" i="14" a="1"/>
  <c r="L48" i="14" s="1"/>
  <c r="R48" i="14" a="1"/>
  <c r="R48" i="14" s="1"/>
  <c r="Y48" i="14" a="1"/>
  <c r="Y48" i="14" s="1"/>
  <c r="AE48" i="14" a="1"/>
  <c r="AE48" i="14" s="1"/>
  <c r="AR48" i="14" a="1"/>
  <c r="AR48" i="14" s="1"/>
  <c r="AX48" i="14" a="1"/>
  <c r="AX48" i="14" s="1"/>
  <c r="BE48" i="14" a="1"/>
  <c r="BE48" i="14" s="1"/>
  <c r="E48" i="14" a="1"/>
  <c r="E48" i="14" s="1"/>
  <c r="F48" i="14" a="1"/>
  <c r="F48" i="14" s="1"/>
  <c r="M48" i="14" a="1"/>
  <c r="M48" i="14" s="1"/>
  <c r="S48" i="14" a="1"/>
  <c r="S48" i="14" s="1"/>
  <c r="AF48" i="14" a="1"/>
  <c r="AF48" i="14" s="1"/>
  <c r="AL48" i="14" a="1"/>
  <c r="AL48" i="14" s="1"/>
  <c r="AS48" i="14" a="1"/>
  <c r="AS48" i="14" s="1"/>
  <c r="AY48" i="14" a="1"/>
  <c r="AY48" i="14" s="1"/>
  <c r="G48" i="14" a="1"/>
  <c r="G48" i="14" s="1"/>
  <c r="T48" i="14" a="1"/>
  <c r="T48" i="14" s="1"/>
  <c r="Z48" i="14" a="1"/>
  <c r="Z48" i="14" s="1"/>
  <c r="AG48" i="14" a="1"/>
  <c r="AG48" i="14" s="1"/>
  <c r="AM48" i="14" a="1"/>
  <c r="AM48" i="14" s="1"/>
  <c r="AZ48" i="14" a="1"/>
  <c r="AZ48" i="14" s="1"/>
  <c r="BF48" i="14" a="1"/>
  <c r="BF48" i="14" s="1"/>
  <c r="H48" i="14" a="1"/>
  <c r="H48" i="14" s="1"/>
  <c r="N48" i="14" a="1"/>
  <c r="N48" i="14" s="1"/>
  <c r="U48" i="14" a="1"/>
  <c r="U48" i="14" s="1"/>
  <c r="AA48" i="14" a="1"/>
  <c r="AA48" i="14" s="1"/>
  <c r="AN48" i="14" a="1"/>
  <c r="AN48" i="14" s="1"/>
  <c r="AT48" i="14" a="1"/>
  <c r="AT48" i="14" s="1"/>
  <c r="BA48" i="14" a="1"/>
  <c r="BA48" i="14" s="1"/>
  <c r="BG48" i="14" a="1"/>
  <c r="BG48" i="14" s="1"/>
  <c r="I48" i="14" a="1"/>
  <c r="I48" i="14" s="1"/>
  <c r="O48" i="14" a="1"/>
  <c r="O48" i="14" s="1"/>
  <c r="AB48" i="14" a="1"/>
  <c r="AB48" i="14" s="1"/>
  <c r="AH48" i="14" a="1"/>
  <c r="AH48" i="14" s="1"/>
  <c r="AO48" i="14" a="1"/>
  <c r="AO48" i="14" s="1"/>
  <c r="AU48" i="14" a="1"/>
  <c r="AU48" i="14" s="1"/>
  <c r="BH48" i="14" a="1"/>
  <c r="BH48" i="14" s="1"/>
  <c r="P48" i="14" a="1"/>
  <c r="P48" i="14" s="1"/>
  <c r="V48" i="14" a="1"/>
  <c r="V48" i="14" s="1"/>
  <c r="AC48" i="14" a="1"/>
  <c r="AC48" i="14" s="1"/>
  <c r="AI48" i="14" a="1"/>
  <c r="AI48" i="14" s="1"/>
  <c r="AV48" i="14" a="1"/>
  <c r="AV48" i="14" s="1"/>
  <c r="BB48" i="14" a="1"/>
  <c r="BB48" i="14" s="1"/>
  <c r="BI48" i="14" a="1"/>
  <c r="BI48" i="14" s="1"/>
  <c r="J48" i="14" a="1"/>
  <c r="J48" i="14" s="1"/>
  <c r="Q48" i="14" a="1"/>
  <c r="Q48" i="14" s="1"/>
  <c r="W48" i="14" a="1"/>
  <c r="W48" i="14" s="1"/>
  <c r="AJ48" i="14" a="1"/>
  <c r="AJ48" i="14" s="1"/>
  <c r="AP48" i="14" a="1"/>
  <c r="AP48" i="14" s="1"/>
  <c r="AW48" i="14" a="1"/>
  <c r="AW48" i="14" s="1"/>
  <c r="BC48" i="14" a="1"/>
  <c r="BC48" i="14" s="1"/>
  <c r="S49" i="13"/>
  <c r="AE49" i="13"/>
  <c r="AO49" i="13"/>
  <c r="BD49" i="13"/>
  <c r="AW49" i="13"/>
  <c r="M49" i="13"/>
  <c r="K49" i="13"/>
  <c r="AR49" i="13"/>
  <c r="W49" i="13"/>
  <c r="BB49" i="13"/>
  <c r="AB49" i="13"/>
  <c r="AK49" i="13"/>
  <c r="AG49" i="13"/>
  <c r="AV49" i="13"/>
  <c r="AS49" i="13"/>
  <c r="L49" i="13"/>
  <c r="O49" i="13"/>
  <c r="AT49" i="13"/>
  <c r="BG49" i="13"/>
  <c r="AJ49" i="13"/>
  <c r="Y49" i="13"/>
  <c r="AN49" i="13"/>
  <c r="J49" i="13"/>
  <c r="AP49" i="13"/>
  <c r="G49" i="13"/>
  <c r="AL49" i="13"/>
  <c r="AY49" i="13"/>
  <c r="BF49" i="13"/>
  <c r="Q49" i="13"/>
  <c r="AF49" i="13"/>
  <c r="AX49" i="13"/>
  <c r="AH49" i="13"/>
  <c r="R49" i="13"/>
  <c r="AC49" i="13"/>
  <c r="AD49" i="13"/>
  <c r="AQ49" i="13"/>
  <c r="Z49" i="13"/>
  <c r="I49" i="13"/>
  <c r="X49" i="13"/>
  <c r="F49" i="13"/>
  <c r="BC49" i="13"/>
  <c r="BH49" i="13"/>
  <c r="V49" i="13"/>
  <c r="AI49" i="13"/>
  <c r="U49" i="13"/>
  <c r="BA49" i="13"/>
  <c r="P49" i="13"/>
  <c r="AU49" i="13"/>
  <c r="T49" i="13"/>
  <c r="N49" i="13"/>
  <c r="AA49" i="13"/>
  <c r="BE49" i="13"/>
  <c r="AZ49" i="13"/>
  <c r="H49" i="13"/>
  <c r="D28" i="6"/>
  <c r="E28" i="6" s="1"/>
  <c r="D30" i="6"/>
  <c r="D29" i="6"/>
  <c r="E29" i="6" s="1"/>
  <c r="D13" i="6"/>
  <c r="E13" i="6" s="1"/>
  <c r="D25" i="6"/>
  <c r="E25" i="6" s="1"/>
  <c r="D18" i="6"/>
  <c r="E18" i="6" s="1"/>
  <c r="D9" i="6"/>
  <c r="D23" i="6"/>
  <c r="E23" i="6" s="1"/>
  <c r="D11" i="6"/>
  <c r="E11" i="6" s="1"/>
  <c r="D16" i="6"/>
  <c r="E16" i="6" s="1"/>
  <c r="D20" i="6"/>
  <c r="E20" i="6" s="1"/>
  <c r="D19" i="6"/>
  <c r="E19" i="6" s="1"/>
  <c r="D27" i="6"/>
  <c r="E27" i="6" s="1"/>
  <c r="D24" i="6"/>
  <c r="E24" i="6" s="1"/>
  <c r="D10" i="6"/>
  <c r="E10" i="6" s="1"/>
  <c r="D14" i="6"/>
  <c r="E14" i="6" s="1"/>
  <c r="D21" i="6"/>
  <c r="E21" i="6" s="1"/>
  <c r="D17" i="6"/>
  <c r="E17" i="6" s="1"/>
  <c r="D12" i="6"/>
  <c r="E12" i="6" s="1"/>
  <c r="D15" i="6"/>
  <c r="E15" i="6" s="1"/>
  <c r="C9" i="21"/>
  <c r="D45" i="20"/>
  <c r="B13" i="21"/>
  <c r="D14" i="20"/>
  <c r="E25" i="21"/>
  <c r="C28" i="21"/>
  <c r="C44" i="20"/>
  <c r="E36" i="20"/>
  <c r="C19" i="21"/>
  <c r="F27" i="20"/>
  <c r="B14" i="21"/>
  <c r="D51" i="21"/>
  <c r="B43" i="20"/>
  <c r="F42" i="21"/>
  <c r="B48" i="21"/>
  <c r="B20" i="21"/>
  <c r="F50" i="20"/>
  <c r="B42" i="21"/>
  <c r="B44" i="20"/>
  <c r="D13" i="21"/>
  <c r="E3" i="20"/>
  <c r="D29" i="20"/>
  <c r="E40" i="20"/>
  <c r="E31" i="21"/>
  <c r="G7" i="22"/>
  <c r="B32" i="21"/>
  <c r="F20" i="20"/>
  <c r="E14" i="21"/>
  <c r="F13" i="21"/>
  <c r="F12" i="20"/>
  <c r="F23" i="21"/>
  <c r="B29" i="21"/>
  <c r="F29" i="20"/>
  <c r="C44" i="21"/>
  <c r="F42" i="20"/>
  <c r="D41" i="21"/>
  <c r="E61" i="21"/>
  <c r="C15" i="21"/>
  <c r="D10" i="21"/>
  <c r="D25" i="21"/>
  <c r="B2" i="20"/>
  <c r="E2" i="20"/>
  <c r="E39" i="20"/>
  <c r="F17" i="20"/>
  <c r="F38" i="20"/>
  <c r="F16" i="21"/>
  <c r="B12" i="20"/>
  <c r="E26" i="20"/>
  <c r="D32" i="21"/>
  <c r="F4" i="20"/>
  <c r="D5" i="21"/>
  <c r="F41" i="20"/>
  <c r="F53" i="21"/>
  <c r="F32" i="21"/>
  <c r="C55" i="21"/>
  <c r="C58" i="21"/>
  <c r="C34" i="20"/>
  <c r="D2" i="20"/>
  <c r="B47" i="21"/>
  <c r="F50" i="21"/>
  <c r="F36" i="20"/>
  <c r="E31" i="20"/>
  <c r="F62" i="21"/>
  <c r="D33" i="20"/>
  <c r="C12" i="20"/>
  <c r="D19" i="20"/>
  <c r="E15" i="21"/>
  <c r="C40" i="20"/>
  <c r="D16" i="21"/>
  <c r="C41" i="21"/>
  <c r="E14" i="20"/>
  <c r="E47" i="21"/>
  <c r="B19" i="21"/>
  <c r="E22" i="21"/>
  <c r="B26" i="21"/>
  <c r="E24" i="20"/>
  <c r="F40" i="21"/>
  <c r="F7" i="20"/>
  <c r="F14" i="21"/>
  <c r="C37" i="21"/>
  <c r="C25" i="21"/>
  <c r="E27" i="21"/>
  <c r="D42" i="21"/>
  <c r="D44" i="21"/>
  <c r="F59" i="21"/>
  <c r="F49" i="20"/>
  <c r="C42" i="21"/>
  <c r="E42" i="21"/>
  <c r="B18" i="20"/>
  <c r="D4" i="20"/>
  <c r="F30" i="20"/>
  <c r="D8" i="21"/>
  <c r="F5" i="21"/>
  <c r="D37" i="21"/>
  <c r="F44" i="21"/>
  <c r="F41" i="21"/>
  <c r="E30" i="21"/>
  <c r="E7" i="20"/>
  <c r="B9" i="21"/>
  <c r="B41" i="20"/>
  <c r="B45" i="20"/>
  <c r="F61" i="21"/>
  <c r="B62" i="21"/>
  <c r="C43" i="21"/>
  <c r="D11" i="20"/>
  <c r="E51" i="20"/>
  <c r="D28" i="20"/>
  <c r="B21" i="21"/>
  <c r="B50" i="20"/>
  <c r="C28" i="20"/>
  <c r="B6" i="20"/>
  <c r="F3" i="20"/>
  <c r="E54" i="21"/>
  <c r="F19" i="21"/>
  <c r="G5" i="22"/>
  <c r="E41" i="21"/>
  <c r="E11" i="20"/>
  <c r="F44" i="20"/>
  <c r="F8" i="20"/>
  <c r="B23" i="20"/>
  <c r="D23" i="20"/>
  <c r="E12" i="21"/>
  <c r="C30" i="20"/>
  <c r="F43" i="20"/>
  <c r="C3" i="20"/>
  <c r="B31" i="21"/>
  <c r="F39" i="21"/>
  <c r="D22" i="20"/>
  <c r="B11" i="20"/>
  <c r="F2" i="20"/>
  <c r="E16" i="20"/>
  <c r="D17" i="21"/>
  <c r="D12" i="21"/>
  <c r="F2" i="21"/>
  <c r="C60" i="21"/>
  <c r="C40" i="21"/>
  <c r="B46" i="21"/>
  <c r="C18" i="21"/>
  <c r="C50" i="20"/>
  <c r="F35" i="21"/>
  <c r="F33" i="21"/>
  <c r="C24" i="20"/>
  <c r="E47" i="20"/>
  <c r="C24" i="21"/>
  <c r="F37" i="20"/>
  <c r="C6" i="21"/>
  <c r="E62" i="21"/>
  <c r="D21" i="21"/>
  <c r="D6" i="20"/>
  <c r="F47" i="21"/>
  <c r="D46" i="21"/>
  <c r="D11" i="21"/>
  <c r="D31" i="21"/>
  <c r="B61" i="21"/>
  <c r="C61" i="21"/>
  <c r="D27" i="21"/>
  <c r="C46" i="20"/>
  <c r="D36" i="20"/>
  <c r="C36" i="21"/>
  <c r="F23" i="20"/>
  <c r="E52" i="21"/>
  <c r="F10" i="21"/>
  <c r="B37" i="20"/>
  <c r="D41" i="20"/>
  <c r="C23" i="20"/>
  <c r="F38" i="21"/>
  <c r="F36" i="21"/>
  <c r="E9" i="21"/>
  <c r="D48" i="20"/>
  <c r="B16" i="21"/>
  <c r="E43" i="21"/>
  <c r="D28" i="21"/>
  <c r="B2" i="21"/>
  <c r="C21" i="20"/>
  <c r="E32" i="20"/>
  <c r="C27" i="20"/>
  <c r="B35" i="20"/>
  <c r="B30" i="20"/>
  <c r="B27" i="21"/>
  <c r="C26" i="21"/>
  <c r="D13" i="20"/>
  <c r="B10" i="20"/>
  <c r="C8" i="20"/>
  <c r="D35" i="21"/>
  <c r="C33" i="20"/>
  <c r="C39" i="20"/>
  <c r="D30" i="20"/>
  <c r="E38" i="21"/>
  <c r="C5" i="21"/>
  <c r="D3" i="21"/>
  <c r="B17" i="20"/>
  <c r="C31" i="20"/>
  <c r="C32" i="21"/>
  <c r="C57" i="21"/>
  <c r="E5" i="20"/>
  <c r="B33" i="20"/>
  <c r="B14" i="20"/>
  <c r="E23" i="20"/>
  <c r="B51" i="20"/>
  <c r="D34" i="21"/>
  <c r="E23" i="21"/>
  <c r="F26" i="20"/>
  <c r="B4" i="20"/>
  <c r="D31" i="20"/>
  <c r="B6" i="21"/>
  <c r="F18" i="20"/>
  <c r="D7" i="20"/>
  <c r="F46" i="21"/>
  <c r="E34" i="20"/>
  <c r="E2" i="21"/>
  <c r="B7" i="21"/>
  <c r="C13" i="21"/>
  <c r="C45" i="20"/>
  <c r="B44" i="21"/>
  <c r="C9" i="20"/>
  <c r="C52" i="21"/>
  <c r="B38" i="20"/>
  <c r="D23" i="21"/>
  <c r="C25" i="20"/>
  <c r="D51" i="20"/>
  <c r="C27" i="21"/>
  <c r="E18" i="21"/>
  <c r="E42" i="20"/>
  <c r="D9" i="20"/>
  <c r="C59" i="21"/>
  <c r="C16" i="20"/>
  <c r="E21" i="20"/>
  <c r="B35" i="21"/>
  <c r="E38" i="20"/>
  <c r="D10" i="20"/>
  <c r="E8" i="21"/>
  <c r="E21" i="21"/>
  <c r="E43" i="20"/>
  <c r="C51" i="20"/>
  <c r="E33" i="21"/>
  <c r="C34" i="21"/>
  <c r="E60" i="21"/>
  <c r="D15" i="20"/>
  <c r="D39" i="21"/>
  <c r="C37" i="20"/>
  <c r="F26" i="21"/>
  <c r="C43" i="20"/>
  <c r="C13" i="20"/>
  <c r="B24" i="20"/>
  <c r="B31" i="20"/>
  <c r="E17" i="21"/>
  <c r="D15" i="21"/>
  <c r="B49" i="21"/>
  <c r="C31" i="21"/>
  <c r="F48" i="20"/>
  <c r="E12" i="20"/>
  <c r="C4" i="21"/>
  <c r="D29" i="21"/>
  <c r="E41" i="20"/>
  <c r="F15" i="20"/>
  <c r="E57" i="21"/>
  <c r="F6" i="21"/>
  <c r="D22" i="21"/>
  <c r="E3" i="21"/>
  <c r="E4" i="20"/>
  <c r="F8" i="21"/>
  <c r="D30" i="21"/>
  <c r="E24" i="21"/>
  <c r="C22" i="21"/>
  <c r="F9" i="21"/>
  <c r="E35" i="20"/>
  <c r="E45" i="21"/>
  <c r="D48" i="21"/>
  <c r="D18" i="20"/>
  <c r="C36" i="20"/>
  <c r="E32" i="21"/>
  <c r="B25" i="21"/>
  <c r="B8" i="20"/>
  <c r="E35" i="21"/>
  <c r="F57" i="21"/>
  <c r="B10" i="21"/>
  <c r="D24" i="21"/>
  <c r="E29" i="21"/>
  <c r="F4" i="21"/>
  <c r="E48" i="20"/>
  <c r="C10" i="20"/>
  <c r="D45" i="21"/>
  <c r="E44" i="20"/>
  <c r="E30" i="20"/>
  <c r="D49" i="20"/>
  <c r="C46" i="21"/>
  <c r="E18" i="20"/>
  <c r="C17" i="21"/>
  <c r="C56" i="21"/>
  <c r="E48" i="21"/>
  <c r="B56" i="21"/>
  <c r="F45" i="21"/>
  <c r="E27" i="20"/>
  <c r="B4" i="21"/>
  <c r="E10" i="21"/>
  <c r="C35" i="21"/>
  <c r="F21" i="20"/>
  <c r="F52" i="21"/>
  <c r="F34" i="21"/>
  <c r="F27" i="21"/>
  <c r="G6" i="22"/>
  <c r="B51" i="21"/>
  <c r="B39" i="21"/>
  <c r="C11" i="20"/>
  <c r="B60" i="21"/>
  <c r="E29" i="20"/>
  <c r="D14" i="21"/>
  <c r="B36" i="20"/>
  <c r="F58" i="21"/>
  <c r="B59" i="21"/>
  <c r="F22" i="20"/>
  <c r="C17" i="20"/>
  <c r="F11" i="20"/>
  <c r="D8" i="20"/>
  <c r="D9" i="21"/>
  <c r="D20" i="21"/>
  <c r="C49" i="21"/>
  <c r="E34" i="21"/>
  <c r="D40" i="21"/>
  <c r="C20" i="20"/>
  <c r="F28" i="21"/>
  <c r="C22" i="20"/>
  <c r="F16" i="20"/>
  <c r="E50" i="21"/>
  <c r="E9" i="20"/>
  <c r="B23" i="21"/>
  <c r="C8" i="21"/>
  <c r="D3" i="20"/>
  <c r="F35" i="20"/>
  <c r="E4" i="21"/>
  <c r="B57" i="21"/>
  <c r="C2" i="21"/>
  <c r="E36" i="21"/>
  <c r="F29" i="21"/>
  <c r="E56" i="21"/>
  <c r="E40" i="21"/>
  <c r="C4" i="20"/>
  <c r="B29" i="20"/>
  <c r="E37" i="20"/>
  <c r="E28" i="20"/>
  <c r="C29" i="20"/>
  <c r="B41" i="21"/>
  <c r="D21" i="20"/>
  <c r="D38" i="21"/>
  <c r="C53" i="21"/>
  <c r="B18" i="21"/>
  <c r="E20" i="20"/>
  <c r="C29" i="21"/>
  <c r="B39" i="20"/>
  <c r="D60" i="21"/>
  <c r="C3" i="21"/>
  <c r="F22" i="21"/>
  <c r="D62" i="21"/>
  <c r="E53" i="21"/>
  <c r="E28" i="21"/>
  <c r="B12" i="21"/>
  <c r="B7" i="20"/>
  <c r="C54" i="21"/>
  <c r="B3" i="21"/>
  <c r="C33" i="21"/>
  <c r="B13" i="20"/>
  <c r="B30" i="21"/>
  <c r="D54" i="21"/>
  <c r="F24" i="20"/>
  <c r="E45" i="20"/>
  <c r="F17" i="21"/>
  <c r="F15" i="21"/>
  <c r="D50" i="20"/>
  <c r="G4" i="22"/>
  <c r="F33" i="20"/>
  <c r="D53" i="21"/>
  <c r="F21" i="21"/>
  <c r="E19" i="21"/>
  <c r="D40" i="20"/>
  <c r="D47" i="20"/>
  <c r="D37" i="20"/>
  <c r="B11" i="21"/>
  <c r="D7" i="21"/>
  <c r="D57" i="21"/>
  <c r="C15" i="20"/>
  <c r="F25" i="20"/>
  <c r="D2" i="21"/>
  <c r="D49" i="21"/>
  <c r="C38" i="21"/>
  <c r="B34" i="20"/>
  <c r="E25" i="20"/>
  <c r="D47" i="21"/>
  <c r="D58" i="21"/>
  <c r="F14" i="20"/>
  <c r="D39" i="20"/>
  <c r="F37" i="21"/>
  <c r="E59" i="21"/>
  <c r="E49" i="20"/>
  <c r="C11" i="21"/>
  <c r="B40" i="21"/>
  <c r="F54" i="21"/>
  <c r="E55" i="21"/>
  <c r="C12" i="21"/>
  <c r="F34" i="20"/>
  <c r="E8" i="20"/>
  <c r="E10" i="20"/>
  <c r="B5" i="20"/>
  <c r="F20" i="21"/>
  <c r="E46" i="20"/>
  <c r="C32" i="20"/>
  <c r="F43" i="21"/>
  <c r="E33" i="20"/>
  <c r="B19" i="20"/>
  <c r="E16" i="21"/>
  <c r="E7" i="21"/>
  <c r="D20" i="20"/>
  <c r="B48" i="20"/>
  <c r="F13" i="20"/>
  <c r="C7" i="21"/>
  <c r="F10" i="20"/>
  <c r="C47" i="21"/>
  <c r="B28" i="21"/>
  <c r="F31" i="21"/>
  <c r="F55" i="21"/>
  <c r="D24" i="20"/>
  <c r="F11" i="21"/>
  <c r="F39" i="20"/>
  <c r="B22" i="20"/>
  <c r="E13" i="20"/>
  <c r="F5" i="20"/>
  <c r="D34" i="20"/>
  <c r="B47" i="20"/>
  <c r="D26" i="20"/>
  <c r="C49" i="20"/>
  <c r="C47" i="20"/>
  <c r="D12" i="20"/>
  <c r="F56" i="21"/>
  <c r="B43" i="21"/>
  <c r="E13" i="21"/>
  <c r="C21" i="21"/>
  <c r="D46" i="20"/>
  <c r="F40" i="20"/>
  <c r="F47" i="20"/>
  <c r="D35" i="20"/>
  <c r="D52" i="21"/>
  <c r="F25" i="21"/>
  <c r="C26" i="20"/>
  <c r="B15" i="21"/>
  <c r="C30" i="21"/>
  <c r="B21" i="20"/>
  <c r="E51" i="21"/>
  <c r="C6" i="20"/>
  <c r="D27" i="20"/>
  <c r="E15" i="20"/>
  <c r="D6" i="21"/>
  <c r="D32" i="20"/>
  <c r="B5" i="21"/>
  <c r="D33" i="21"/>
  <c r="B45" i="21"/>
  <c r="F9" i="20"/>
  <c r="C2" i="20"/>
  <c r="B49" i="20"/>
  <c r="E22" i="20"/>
  <c r="B28" i="20"/>
  <c r="B22" i="21"/>
  <c r="F48" i="21"/>
  <c r="B32" i="20"/>
  <c r="C51" i="21"/>
  <c r="F12" i="21"/>
  <c r="E20" i="21"/>
  <c r="B17" i="21"/>
  <c r="C14" i="20"/>
  <c r="F7" i="21"/>
  <c r="F3" i="21"/>
  <c r="D55" i="21"/>
  <c r="F19" i="20"/>
  <c r="D18" i="21"/>
  <c r="F32" i="20"/>
  <c r="C50" i="21"/>
  <c r="B58" i="21"/>
  <c r="C18" i="20"/>
  <c r="B37" i="21"/>
  <c r="D17" i="20"/>
  <c r="C10" i="21"/>
  <c r="C48" i="20"/>
  <c r="D36" i="21"/>
  <c r="C38" i="20"/>
  <c r="E49" i="21"/>
  <c r="E26" i="21"/>
  <c r="C19" i="20"/>
  <c r="D16" i="20"/>
  <c r="C14" i="21"/>
  <c r="B3" i="20"/>
  <c r="B42" i="20"/>
  <c r="C7" i="20"/>
  <c r="C41" i="20"/>
  <c r="F49" i="21"/>
  <c r="B40" i="20"/>
  <c r="E17" i="20"/>
  <c r="E6" i="20"/>
  <c r="B26" i="20"/>
  <c r="C35" i="20"/>
  <c r="G3" i="22"/>
  <c r="C23" i="21"/>
  <c r="D56" i="21"/>
  <c r="D26" i="21"/>
  <c r="C48" i="21"/>
  <c r="B9" i="20"/>
  <c r="B54" i="21"/>
  <c r="B55" i="21"/>
  <c r="B38" i="21"/>
  <c r="D4" i="21"/>
  <c r="B34" i="21"/>
  <c r="F18" i="21"/>
  <c r="C16" i="21"/>
  <c r="B20" i="20"/>
  <c r="D50" i="21"/>
  <c r="F30" i="21"/>
  <c r="C42" i="20"/>
  <c r="B27" i="20"/>
  <c r="D59" i="21"/>
  <c r="B25" i="20"/>
  <c r="E37" i="21"/>
  <c r="E11" i="21"/>
  <c r="E46" i="21"/>
  <c r="B16" i="20"/>
  <c r="F24" i="21"/>
  <c r="E19" i="20"/>
  <c r="E39" i="21"/>
  <c r="B46" i="20"/>
  <c r="C62" i="21"/>
  <c r="B52" i="21"/>
  <c r="B50" i="21"/>
  <c r="E50" i="20"/>
  <c r="D25" i="20"/>
  <c r="F31" i="20"/>
  <c r="F6" i="20"/>
  <c r="D61" i="21"/>
  <c r="D44" i="20"/>
  <c r="D38" i="20"/>
  <c r="F51" i="20"/>
  <c r="B53" i="21"/>
  <c r="F45" i="20"/>
  <c r="C39" i="21"/>
  <c r="B36" i="21"/>
  <c r="D5" i="20"/>
  <c r="D43" i="20"/>
  <c r="F46" i="20"/>
  <c r="B8" i="21"/>
  <c r="C45" i="21"/>
  <c r="E6" i="21"/>
  <c r="C5" i="20"/>
  <c r="C20" i="21"/>
  <c r="E58" i="21"/>
  <c r="D42" i="20"/>
  <c r="F28" i="20"/>
  <c r="F60" i="21"/>
  <c r="E44" i="21"/>
  <c r="B24" i="21"/>
  <c r="D19" i="21"/>
  <c r="B33" i="21"/>
  <c r="E5" i="21"/>
  <c r="D43" i="21"/>
  <c r="B15" i="20"/>
  <c r="F51" i="21"/>
  <c r="I2" i="21" l="1"/>
  <c r="H3" i="22"/>
  <c r="H4" i="22"/>
  <c r="H7" i="22"/>
  <c r="H5" i="22"/>
  <c r="H6" i="22"/>
  <c r="I27" i="21"/>
  <c r="G27" i="21"/>
  <c r="I31" i="21"/>
  <c r="G31" i="21"/>
  <c r="G35" i="21"/>
  <c r="I35" i="21"/>
  <c r="I39" i="21"/>
  <c r="G39" i="21"/>
  <c r="G43" i="21"/>
  <c r="I43" i="21"/>
  <c r="G47" i="21"/>
  <c r="I47" i="21"/>
  <c r="I51" i="21"/>
  <c r="G51" i="21"/>
  <c r="G55" i="21"/>
  <c r="I55" i="21"/>
  <c r="G59" i="21"/>
  <c r="I59" i="21"/>
  <c r="I30" i="21"/>
  <c r="G30" i="21"/>
  <c r="I46" i="21"/>
  <c r="G46" i="21"/>
  <c r="I58" i="21"/>
  <c r="G58" i="21"/>
  <c r="G28" i="21"/>
  <c r="I28" i="21"/>
  <c r="G32" i="21"/>
  <c r="I32" i="21"/>
  <c r="I36" i="21"/>
  <c r="G36" i="21"/>
  <c r="G40" i="21"/>
  <c r="I40" i="21"/>
  <c r="G44" i="21"/>
  <c r="I44" i="21"/>
  <c r="I48" i="21"/>
  <c r="G48" i="21"/>
  <c r="G52" i="21"/>
  <c r="I52" i="21"/>
  <c r="I56" i="21"/>
  <c r="G56" i="21"/>
  <c r="I60" i="21"/>
  <c r="G60" i="21"/>
  <c r="I38" i="21"/>
  <c r="G38" i="21"/>
  <c r="I50" i="21"/>
  <c r="G50" i="21"/>
  <c r="G62" i="21"/>
  <c r="I62" i="21"/>
  <c r="I29" i="21"/>
  <c r="G29" i="21"/>
  <c r="I33" i="21"/>
  <c r="G33" i="21"/>
  <c r="G37" i="21"/>
  <c r="I37" i="21"/>
  <c r="G41" i="21"/>
  <c r="I41" i="21"/>
  <c r="G45" i="21"/>
  <c r="I45" i="21"/>
  <c r="G49" i="21"/>
  <c r="I49" i="21"/>
  <c r="I53" i="21"/>
  <c r="G53" i="21"/>
  <c r="I57" i="21"/>
  <c r="G57" i="21"/>
  <c r="G61" i="21"/>
  <c r="I61" i="21"/>
  <c r="G34" i="21"/>
  <c r="I34" i="21"/>
  <c r="G42" i="21"/>
  <c r="I42" i="21"/>
  <c r="G54" i="21"/>
  <c r="I54" i="21"/>
  <c r="H27" i="20"/>
  <c r="I27" i="20"/>
  <c r="G27" i="20"/>
  <c r="G31" i="20"/>
  <c r="I31" i="20"/>
  <c r="H31" i="20"/>
  <c r="G35" i="20"/>
  <c r="H35" i="20"/>
  <c r="I35" i="20"/>
  <c r="H39" i="20"/>
  <c r="I39" i="20"/>
  <c r="G39" i="20"/>
  <c r="G43" i="20"/>
  <c r="I43" i="20"/>
  <c r="H43" i="20"/>
  <c r="G47" i="20"/>
  <c r="I47" i="20"/>
  <c r="H47" i="20"/>
  <c r="G51" i="20"/>
  <c r="H51" i="20"/>
  <c r="I51" i="20"/>
  <c r="G30" i="20"/>
  <c r="H30" i="20"/>
  <c r="I30" i="20"/>
  <c r="G42" i="20"/>
  <c r="H42" i="20"/>
  <c r="I42" i="20"/>
  <c r="I28" i="20"/>
  <c r="H28" i="20"/>
  <c r="G28" i="20"/>
  <c r="I32" i="20"/>
  <c r="H32" i="20"/>
  <c r="G32" i="20"/>
  <c r="G36" i="20"/>
  <c r="H36" i="20"/>
  <c r="I36" i="20"/>
  <c r="G40" i="20"/>
  <c r="H40" i="20"/>
  <c r="I40" i="20"/>
  <c r="I44" i="20"/>
  <c r="G44" i="20"/>
  <c r="H44" i="20"/>
  <c r="I48" i="20"/>
  <c r="G48" i="20"/>
  <c r="H48" i="20"/>
  <c r="G26" i="20"/>
  <c r="H26" i="20"/>
  <c r="I26" i="20"/>
  <c r="G38" i="20"/>
  <c r="H38" i="20"/>
  <c r="I38" i="20"/>
  <c r="I50" i="20"/>
  <c r="G50" i="20"/>
  <c r="H50" i="20"/>
  <c r="H29" i="20"/>
  <c r="G29" i="20"/>
  <c r="I29" i="20"/>
  <c r="I33" i="20"/>
  <c r="G33" i="20"/>
  <c r="H33" i="20"/>
  <c r="I37" i="20"/>
  <c r="G37" i="20"/>
  <c r="H37" i="20"/>
  <c r="H41" i="20"/>
  <c r="I41" i="20"/>
  <c r="G41" i="20"/>
  <c r="I45" i="20"/>
  <c r="G45" i="20"/>
  <c r="H45" i="20"/>
  <c r="H49" i="20"/>
  <c r="I49" i="20"/>
  <c r="G49" i="20"/>
  <c r="I34" i="20"/>
  <c r="H34" i="20"/>
  <c r="G34" i="20"/>
  <c r="G46" i="20"/>
  <c r="H46" i="20"/>
  <c r="I46" i="20"/>
  <c r="G2" i="21"/>
  <c r="G24" i="21"/>
  <c r="G16" i="21"/>
  <c r="I12" i="21"/>
  <c r="G8" i="21"/>
  <c r="I25" i="21"/>
  <c r="I21" i="21"/>
  <c r="G13" i="21"/>
  <c r="G5" i="21"/>
  <c r="G26" i="21"/>
  <c r="G18" i="21"/>
  <c r="G14" i="21"/>
  <c r="G6" i="21"/>
  <c r="I19" i="21"/>
  <c r="G11" i="21"/>
  <c r="I7" i="21"/>
  <c r="H7" i="20"/>
  <c r="G11" i="20"/>
  <c r="H19" i="20"/>
  <c r="H23" i="20"/>
  <c r="I4" i="20"/>
  <c r="I8" i="20"/>
  <c r="G12" i="20"/>
  <c r="H16" i="20"/>
  <c r="G20" i="20"/>
  <c r="G5" i="20"/>
  <c r="I9" i="20"/>
  <c r="I13" i="20"/>
  <c r="I17" i="20"/>
  <c r="H21" i="20"/>
  <c r="I25" i="20"/>
  <c r="H6" i="20"/>
  <c r="H14" i="20"/>
  <c r="I18" i="20"/>
  <c r="H22" i="20"/>
  <c r="I2" i="20"/>
  <c r="G8" i="20"/>
  <c r="I22" i="20"/>
  <c r="H4" i="20"/>
  <c r="G4" i="20"/>
  <c r="H18" i="20"/>
  <c r="G18" i="20"/>
  <c r="G9" i="20"/>
  <c r="I23" i="20"/>
  <c r="I5" i="20"/>
  <c r="I19" i="20"/>
  <c r="I10" i="20"/>
  <c r="H10" i="20"/>
  <c r="G10" i="20"/>
  <c r="H24" i="20"/>
  <c r="G24" i="20"/>
  <c r="I24" i="20"/>
  <c r="I15" i="20"/>
  <c r="H15" i="20"/>
  <c r="G15" i="20"/>
  <c r="I6" i="20"/>
  <c r="I20" i="20"/>
  <c r="H20" i="20"/>
  <c r="I11" i="20"/>
  <c r="H11" i="20"/>
  <c r="H25" i="20"/>
  <c r="G25" i="20"/>
  <c r="I16" i="20"/>
  <c r="I7" i="20"/>
  <c r="I21" i="20"/>
  <c r="G21" i="20"/>
  <c r="I12" i="20"/>
  <c r="H12" i="20"/>
  <c r="G3" i="20"/>
  <c r="I3" i="20"/>
  <c r="H3" i="20"/>
  <c r="J6" i="22" l="1"/>
  <c r="K6" i="22"/>
  <c r="J5" i="22"/>
  <c r="K5" i="22"/>
  <c r="J7" i="22"/>
  <c r="K7" i="22"/>
  <c r="J4" i="22"/>
  <c r="K4" i="22"/>
  <c r="J38" i="20"/>
  <c r="J42" i="20"/>
  <c r="J39" i="20"/>
  <c r="J34" i="20"/>
  <c r="J47" i="20"/>
  <c r="J37" i="20"/>
  <c r="J32" i="20"/>
  <c r="J40" i="20"/>
  <c r="J41" i="20"/>
  <c r="J29" i="20"/>
  <c r="J49" i="20"/>
  <c r="J35" i="20"/>
  <c r="J31" i="20"/>
  <c r="J33" i="20"/>
  <c r="J51" i="20"/>
  <c r="J26" i="20"/>
  <c r="J36" i="20"/>
  <c r="J30" i="20"/>
  <c r="J43" i="20"/>
  <c r="J50" i="20"/>
  <c r="J44" i="20"/>
  <c r="J46" i="20"/>
  <c r="J45" i="20"/>
  <c r="J48" i="20"/>
  <c r="J28" i="20"/>
  <c r="J27" i="20"/>
  <c r="G12" i="21"/>
  <c r="I5" i="21"/>
  <c r="G19" i="21"/>
  <c r="I24" i="21"/>
  <c r="I17" i="21"/>
  <c r="I8" i="21"/>
  <c r="G17" i="21"/>
  <c r="I6" i="21"/>
  <c r="G23" i="21"/>
  <c r="G25" i="21"/>
  <c r="G9" i="21"/>
  <c r="G10" i="21"/>
  <c r="I10" i="21"/>
  <c r="G20" i="21"/>
  <c r="I16" i="21"/>
  <c r="I13" i="21"/>
  <c r="I22" i="21"/>
  <c r="I11" i="21"/>
  <c r="G4" i="21"/>
  <c r="G22" i="21"/>
  <c r="G21" i="21"/>
  <c r="I18" i="21"/>
  <c r="J12" i="20"/>
  <c r="G19" i="20"/>
  <c r="I14" i="21"/>
  <c r="H8" i="20"/>
  <c r="J8" i="20" s="1"/>
  <c r="J11" i="20"/>
  <c r="H5" i="20"/>
  <c r="J5" i="20" s="1"/>
  <c r="G17" i="20"/>
  <c r="H17" i="20"/>
  <c r="J17" i="20" s="1"/>
  <c r="I26" i="21"/>
  <c r="G14" i="20"/>
  <c r="H13" i="20"/>
  <c r="J13" i="20" s="1"/>
  <c r="G3" i="21"/>
  <c r="G15" i="21"/>
  <c r="I14" i="20"/>
  <c r="J14" i="20" s="1"/>
  <c r="I3" i="21"/>
  <c r="G2" i="20"/>
  <c r="I15" i="21"/>
  <c r="H2" i="20"/>
  <c r="J2" i="20" s="1"/>
  <c r="G16" i="20"/>
  <c r="I9" i="21"/>
  <c r="H9" i="20"/>
  <c r="J9" i="20" s="1"/>
  <c r="G13" i="20"/>
  <c r="J18" i="20"/>
  <c r="J25" i="20"/>
  <c r="I20" i="21"/>
  <c r="G7" i="20"/>
  <c r="I23" i="21"/>
  <c r="G6" i="20"/>
  <c r="I4" i="21"/>
  <c r="G23" i="20"/>
  <c r="G7" i="21"/>
  <c r="G22" i="20"/>
  <c r="J3" i="20"/>
  <c r="J20" i="20"/>
  <c r="J19" i="20"/>
  <c r="J10" i="20"/>
  <c r="J4" i="20"/>
  <c r="J7" i="20"/>
  <c r="J6" i="20"/>
  <c r="J24" i="20"/>
  <c r="J23" i="20"/>
  <c r="J22" i="20"/>
  <c r="J21" i="20"/>
  <c r="J16" i="20"/>
  <c r="J15" i="20"/>
  <c r="L4" i="22" l="1"/>
  <c r="L7" i="22"/>
  <c r="L6" i="22"/>
  <c r="L5" i="2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<sst xmlns="http://schemas.openxmlformats.org/spreadsheetml/2006/main" count="253" uniqueCount="56">
  <si>
    <t>P</t>
  </si>
  <si>
    <t>w_max</t>
  </si>
  <si>
    <t>x</t>
  </si>
  <si>
    <t>M</t>
  </si>
  <si>
    <t>L</t>
  </si>
  <si>
    <t>m</t>
  </si>
  <si>
    <t>kN</t>
  </si>
  <si>
    <t>a</t>
  </si>
  <si>
    <t>V</t>
  </si>
  <si>
    <t>d</t>
  </si>
  <si>
    <t>M/(Vd)</t>
  </si>
  <si>
    <t>P [kN]</t>
  </si>
  <si>
    <t>R_1</t>
  </si>
  <si>
    <t>R_2</t>
  </si>
  <si>
    <t>H602</t>
  </si>
  <si>
    <t>H401</t>
  </si>
  <si>
    <t>H403</t>
  </si>
  <si>
    <t>H404</t>
  </si>
  <si>
    <t>H121</t>
  </si>
  <si>
    <t>s</t>
  </si>
  <si>
    <t>h</t>
  </si>
  <si>
    <t>b</t>
  </si>
  <si>
    <t>rho</t>
  </si>
  <si>
    <t>G</t>
  </si>
  <si>
    <t>kN/m</t>
  </si>
  <si>
    <t>g</t>
  </si>
  <si>
    <t>kg/m3</t>
  </si>
  <si>
    <t>m/s^2</t>
  </si>
  <si>
    <t>V_G_sup</t>
  </si>
  <si>
    <t>V (2 m)</t>
  </si>
  <si>
    <t>V (1 m)</t>
  </si>
  <si>
    <t>hier ongeveer de inclined shear crack</t>
  </si>
  <si>
    <t>V_u/V</t>
  </si>
  <si>
    <t>V [kN]</t>
  </si>
  <si>
    <t>s*</t>
  </si>
  <si>
    <t>V/P</t>
  </si>
  <si>
    <t>n</t>
  </si>
  <si>
    <t>Vd/M</t>
  </si>
  <si>
    <t>w_max,w</t>
  </si>
  <si>
    <t>Mean data</t>
  </si>
  <si>
    <t>Stddev. data</t>
  </si>
  <si>
    <t>Mean model</t>
  </si>
  <si>
    <t>Stddev. model</t>
  </si>
  <si>
    <t>G_DL</t>
  </si>
  <si>
    <t>G + Q_PL1</t>
  </si>
  <si>
    <t>G + Q_PL2</t>
  </si>
  <si>
    <t>G_DL + G_SDL</t>
  </si>
  <si>
    <t>G + Q_PL3</t>
  </si>
  <si>
    <t>Average</t>
  </si>
  <si>
    <t>G + Q_PL4</t>
  </si>
  <si>
    <t>Loads</t>
  </si>
  <si>
    <t>Mean</t>
  </si>
  <si>
    <t>Stddev</t>
  </si>
  <si>
    <t>COV</t>
  </si>
  <si>
    <t>G + Q_PL5</t>
  </si>
  <si>
    <t>V/V_u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</si>
</sst>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 applyAlignment="1">
      <alignment horizontal="center"/>
    </xf>
    <xf numFmtId="0" fontId="1" fillId="0" borderId="0" xfId="0" applyFont="1"/>
    <xf numFmtId="2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1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'MVd H121'!$B$8</c:f>
              <c:strCache>
                <c:ptCount val="1"/>
                <c:pt idx="0">
                  <c:v>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'MVd H121'!$A$9:$A$30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3.0000010000000001</c:v>
                </c:pt>
                <c:pt idx="8">
                  <c:v>3.5</c:v>
                </c:pt>
                <c:pt idx="9">
                  <c:v>4</c:v>
                </c:pt>
                <c:pt idx="10">
                  <c:v>4.0000010000000001</c:v>
                </c:pt>
                <c:pt idx="11">
                  <c:v>4.5</c:v>
                </c:pt>
                <c:pt idx="12">
                  <c:v>4.5000010000000001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</c:numCache>
            </c:numRef>
          </c:xVal>
          <c:yVal>
            <c:numRef>
              <c:f>'MVd H121'!$B$9:$B$30</c:f>
              <c:numCache>
                <c:formatCode>General</c:formatCode>
                <c:ptCount val="22"/>
                <c:pt idx="0">
                  <c:v>0</c:v>
                </c:pt>
                <c:pt idx="1">
                  <c:v>113.66666666666666</c:v>
                </c:pt>
                <c:pt idx="2">
                  <c:v>227.33333333333331</c:v>
                </c:pt>
                <c:pt idx="3">
                  <c:v>341</c:v>
                </c:pt>
                <c:pt idx="4">
                  <c:v>454.66666666666663</c:v>
                </c:pt>
                <c:pt idx="5">
                  <c:v>568.33333333333326</c:v>
                </c:pt>
                <c:pt idx="6">
                  <c:v>682</c:v>
                </c:pt>
                <c:pt idx="7">
                  <c:v>681.99988633333328</c:v>
                </c:pt>
                <c:pt idx="8">
                  <c:v>625.16666666666663</c:v>
                </c:pt>
                <c:pt idx="9">
                  <c:v>568.33333333333326</c:v>
                </c:pt>
                <c:pt idx="10">
                  <c:v>568.33321966666665</c:v>
                </c:pt>
                <c:pt idx="11">
                  <c:v>511.49999999999994</c:v>
                </c:pt>
                <c:pt idx="12">
                  <c:v>511.49988633333328</c:v>
                </c:pt>
                <c:pt idx="13">
                  <c:v>454.66666666666663</c:v>
                </c:pt>
                <c:pt idx="14">
                  <c:v>397.83333333333331</c:v>
                </c:pt>
                <c:pt idx="15">
                  <c:v>341</c:v>
                </c:pt>
                <c:pt idx="16">
                  <c:v>284.16666666666663</c:v>
                </c:pt>
                <c:pt idx="17">
                  <c:v>227.33333333333331</c:v>
                </c:pt>
                <c:pt idx="18">
                  <c:v>170.5</c:v>
                </c:pt>
                <c:pt idx="19">
                  <c:v>113.66666666666666</c:v>
                </c:pt>
                <c:pt idx="20">
                  <c:v>56.833333333333329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7B-4C5B-AD7E-6688E75257B4}"/>
            </c:ext>
          </c:extLst>
        </c:ser>
        <c:ser>
          <c:idx val="1"/>
          <c:order val="1"/>
          <c:tx>
            <c:strRef>
              <c:f>'MVd H121'!$C$8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'MVd H121'!$A$9:$A$30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3.0000010000000001</c:v>
                </c:pt>
                <c:pt idx="8">
                  <c:v>3.5</c:v>
                </c:pt>
                <c:pt idx="9">
                  <c:v>4</c:v>
                </c:pt>
                <c:pt idx="10">
                  <c:v>4.0000010000000001</c:v>
                </c:pt>
                <c:pt idx="11">
                  <c:v>4.5</c:v>
                </c:pt>
                <c:pt idx="12">
                  <c:v>4.5000010000000001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</c:numCache>
            </c:numRef>
          </c:xVal>
          <c:yVal>
            <c:numRef>
              <c:f>'MVd H121'!$C$9:$C$30</c:f>
              <c:numCache>
                <c:formatCode>General</c:formatCode>
                <c:ptCount val="22"/>
                <c:pt idx="0">
                  <c:v>227.33333333333331</c:v>
                </c:pt>
                <c:pt idx="1">
                  <c:v>227.33333333333331</c:v>
                </c:pt>
                <c:pt idx="2">
                  <c:v>227.33333333333331</c:v>
                </c:pt>
                <c:pt idx="3">
                  <c:v>227.33333333333331</c:v>
                </c:pt>
                <c:pt idx="4">
                  <c:v>227.33333333333331</c:v>
                </c:pt>
                <c:pt idx="5">
                  <c:v>227.33333333333331</c:v>
                </c:pt>
                <c:pt idx="6">
                  <c:v>227.33333333333331</c:v>
                </c:pt>
                <c:pt idx="7">
                  <c:v>-113.66666666666666</c:v>
                </c:pt>
                <c:pt idx="8">
                  <c:v>-113.66666666666666</c:v>
                </c:pt>
                <c:pt idx="9">
                  <c:v>-113.66666666666666</c:v>
                </c:pt>
                <c:pt idx="10">
                  <c:v>-113.66666666666666</c:v>
                </c:pt>
                <c:pt idx="11">
                  <c:v>-113.66666666666666</c:v>
                </c:pt>
                <c:pt idx="12">
                  <c:v>-113.66666666666666</c:v>
                </c:pt>
                <c:pt idx="13">
                  <c:v>-113.66666666666666</c:v>
                </c:pt>
                <c:pt idx="14">
                  <c:v>-113.66666666666666</c:v>
                </c:pt>
                <c:pt idx="15">
                  <c:v>-113.66666666666666</c:v>
                </c:pt>
                <c:pt idx="16">
                  <c:v>-113.66666666666666</c:v>
                </c:pt>
                <c:pt idx="17">
                  <c:v>-113.66666666666666</c:v>
                </c:pt>
                <c:pt idx="18">
                  <c:v>-113.66666666666666</c:v>
                </c:pt>
                <c:pt idx="19">
                  <c:v>-113.66666666666666</c:v>
                </c:pt>
                <c:pt idx="20">
                  <c:v>-113.66666666666666</c:v>
                </c:pt>
                <c:pt idx="21">
                  <c:v>-113.66666666666666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7B-4C5B-AD7E-6688E7525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985855"/>
        <c:axId val="1679984191"/>
      </c:scatterChart>
      <c:valAx>
        <c:axId val="1679985855"/>
        <c:scaling>
          <c:orientation val="minMax"/>
          <c:max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4191"/>
        <c:crosses val="autoZero"/>
        <c:crossBetween val="midCat"/>
        <c:majorUnit val="1"/>
      </c:valAx>
      <c:valAx>
        <c:axId val="167998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'MVd H121'!$D$8</c:f>
              <c:strCache>
                <c:ptCount val="1"/>
                <c:pt idx="0">
                  <c:v>M/(Vd)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'MVd H121'!$A$9:$A$30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3.0000010000000001</c:v>
                </c:pt>
                <c:pt idx="8">
                  <c:v>3.5</c:v>
                </c:pt>
                <c:pt idx="9">
                  <c:v>4</c:v>
                </c:pt>
                <c:pt idx="10">
                  <c:v>4.0000010000000001</c:v>
                </c:pt>
                <c:pt idx="11">
                  <c:v>4.5</c:v>
                </c:pt>
                <c:pt idx="12">
                  <c:v>4.5000010000000001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</c:numCache>
            </c:numRef>
          </c:xVal>
          <c:yVal>
            <c:numRef>
              <c:f>'MVd H121'!$D$9:$D$30</c:f>
              <c:numCache>
                <c:formatCode>General</c:formatCode>
                <c:ptCount val="22"/>
                <c:pt idx="0">
                  <c:v>0</c:v>
                </c:pt>
                <c:pt idx="1">
                  <c:v>0.4366812227074236</c:v>
                </c:pt>
                <c:pt idx="2">
                  <c:v>0.8733624454148472</c:v>
                </c:pt>
                <c:pt idx="3">
                  <c:v>1.3100436681222709</c:v>
                </c:pt>
                <c:pt idx="4">
                  <c:v>1.7467248908296944</c:v>
                </c:pt>
                <c:pt idx="5">
                  <c:v>2.1834061135371181</c:v>
                </c:pt>
                <c:pt idx="6">
                  <c:v>2.6200873362445418</c:v>
                </c:pt>
                <c:pt idx="7">
                  <c:v>-5.2401737991266382</c:v>
                </c:pt>
                <c:pt idx="8">
                  <c:v>-4.8034934497816595</c:v>
                </c:pt>
                <c:pt idx="9">
                  <c:v>-4.3668122270742362</c:v>
                </c:pt>
                <c:pt idx="10">
                  <c:v>-4.3668113537117907</c:v>
                </c:pt>
                <c:pt idx="11">
                  <c:v>-3.9301310043668125</c:v>
                </c:pt>
                <c:pt idx="12">
                  <c:v>-3.930130131004367</c:v>
                </c:pt>
                <c:pt idx="13">
                  <c:v>-3.4934497816593888</c:v>
                </c:pt>
                <c:pt idx="14">
                  <c:v>-3.0567685589519655</c:v>
                </c:pt>
                <c:pt idx="15">
                  <c:v>-2.6200873362445418</c:v>
                </c:pt>
                <c:pt idx="16">
                  <c:v>-2.1834061135371181</c:v>
                </c:pt>
                <c:pt idx="17">
                  <c:v>-1.7467248908296944</c:v>
                </c:pt>
                <c:pt idx="18">
                  <c:v>-1.3100436681222709</c:v>
                </c:pt>
                <c:pt idx="19">
                  <c:v>-0.8733624454148472</c:v>
                </c:pt>
                <c:pt idx="20">
                  <c:v>-0.4366812227074236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C2-47C9-BAF0-D8280888A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985855"/>
        <c:axId val="1679984191"/>
      </c:scatterChart>
      <c:valAx>
        <c:axId val="1679985855"/>
        <c:scaling>
          <c:orientation val="minMax"/>
          <c:max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4191"/>
        <c:crosses val="autoZero"/>
        <c:crossBetween val="midCat"/>
      </c:valAx>
      <c:valAx>
        <c:axId val="167998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'MVd H401'!$B$8</c:f>
              <c:strCache>
                <c:ptCount val="1"/>
                <c:pt idx="0">
                  <c:v>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'MVd H401'!$A$9:$A$30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3.0000010000000001</c:v>
                </c:pt>
                <c:pt idx="8">
                  <c:v>3.5</c:v>
                </c:pt>
                <c:pt idx="9">
                  <c:v>4</c:v>
                </c:pt>
                <c:pt idx="10">
                  <c:v>4.0000010000000001</c:v>
                </c:pt>
                <c:pt idx="11">
                  <c:v>4.5</c:v>
                </c:pt>
                <c:pt idx="12">
                  <c:v>4.5000010000000001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</c:numCache>
            </c:numRef>
          </c:xVal>
          <c:yVal>
            <c:numRef>
              <c:f>'MVd H401'!$B$9:$B$30</c:f>
              <c:numCache>
                <c:formatCode>General</c:formatCode>
                <c:ptCount val="22"/>
                <c:pt idx="0">
                  <c:v>0</c:v>
                </c:pt>
                <c:pt idx="1">
                  <c:v>65.75</c:v>
                </c:pt>
                <c:pt idx="2">
                  <c:v>131.5</c:v>
                </c:pt>
                <c:pt idx="3">
                  <c:v>197.25</c:v>
                </c:pt>
                <c:pt idx="4">
                  <c:v>263</c:v>
                </c:pt>
                <c:pt idx="5">
                  <c:v>328.75</c:v>
                </c:pt>
                <c:pt idx="6">
                  <c:v>394.5</c:v>
                </c:pt>
                <c:pt idx="7">
                  <c:v>394.50013150000001</c:v>
                </c:pt>
                <c:pt idx="8">
                  <c:v>460.25</c:v>
                </c:pt>
                <c:pt idx="9">
                  <c:v>526</c:v>
                </c:pt>
                <c:pt idx="10">
                  <c:v>526.00013150000007</c:v>
                </c:pt>
                <c:pt idx="11">
                  <c:v>591.75</c:v>
                </c:pt>
                <c:pt idx="12">
                  <c:v>591.74986849999993</c:v>
                </c:pt>
                <c:pt idx="13">
                  <c:v>526</c:v>
                </c:pt>
                <c:pt idx="14">
                  <c:v>460.25</c:v>
                </c:pt>
                <c:pt idx="15">
                  <c:v>394.5</c:v>
                </c:pt>
                <c:pt idx="16">
                  <c:v>328.75</c:v>
                </c:pt>
                <c:pt idx="17">
                  <c:v>263</c:v>
                </c:pt>
                <c:pt idx="18">
                  <c:v>197.25</c:v>
                </c:pt>
                <c:pt idx="19">
                  <c:v>131.5</c:v>
                </c:pt>
                <c:pt idx="20">
                  <c:v>65.75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38-418B-B080-FF5D17673D65}"/>
            </c:ext>
          </c:extLst>
        </c:ser>
        <c:ser>
          <c:idx val="1"/>
          <c:order val="1"/>
          <c:tx>
            <c:strRef>
              <c:f>'MVd H401'!$C$8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'MVd H401'!$A$9:$A$30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3.0000010000000001</c:v>
                </c:pt>
                <c:pt idx="8">
                  <c:v>3.5</c:v>
                </c:pt>
                <c:pt idx="9">
                  <c:v>4</c:v>
                </c:pt>
                <c:pt idx="10">
                  <c:v>4.0000010000000001</c:v>
                </c:pt>
                <c:pt idx="11">
                  <c:v>4.5</c:v>
                </c:pt>
                <c:pt idx="12">
                  <c:v>4.5000010000000001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</c:numCache>
            </c:numRef>
          </c:xVal>
          <c:yVal>
            <c:numRef>
              <c:f>'MVd H401'!$C$9:$C$30</c:f>
              <c:numCache>
                <c:formatCode>General</c:formatCode>
                <c:ptCount val="22"/>
                <c:pt idx="0">
                  <c:v>131.5</c:v>
                </c:pt>
                <c:pt idx="1">
                  <c:v>131.5</c:v>
                </c:pt>
                <c:pt idx="2">
                  <c:v>131.5</c:v>
                </c:pt>
                <c:pt idx="3">
                  <c:v>131.5</c:v>
                </c:pt>
                <c:pt idx="4">
                  <c:v>131.5</c:v>
                </c:pt>
                <c:pt idx="5">
                  <c:v>131.5</c:v>
                </c:pt>
                <c:pt idx="6">
                  <c:v>131.5</c:v>
                </c:pt>
                <c:pt idx="7">
                  <c:v>131.5</c:v>
                </c:pt>
                <c:pt idx="8">
                  <c:v>131.5</c:v>
                </c:pt>
                <c:pt idx="9">
                  <c:v>131.5</c:v>
                </c:pt>
                <c:pt idx="10">
                  <c:v>131.5</c:v>
                </c:pt>
                <c:pt idx="11">
                  <c:v>131.5</c:v>
                </c:pt>
                <c:pt idx="12">
                  <c:v>-131.5</c:v>
                </c:pt>
                <c:pt idx="13">
                  <c:v>-131.5</c:v>
                </c:pt>
                <c:pt idx="14">
                  <c:v>-131.5</c:v>
                </c:pt>
                <c:pt idx="15">
                  <c:v>-131.5</c:v>
                </c:pt>
                <c:pt idx="16">
                  <c:v>-131.5</c:v>
                </c:pt>
                <c:pt idx="17">
                  <c:v>-131.5</c:v>
                </c:pt>
                <c:pt idx="18">
                  <c:v>-131.5</c:v>
                </c:pt>
                <c:pt idx="19">
                  <c:v>-131.5</c:v>
                </c:pt>
                <c:pt idx="20">
                  <c:v>-131.5</c:v>
                </c:pt>
                <c:pt idx="21">
                  <c:v>-131.5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38-418B-B080-FF5D17673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985855"/>
        <c:axId val="1679984191"/>
      </c:scatterChart>
      <c:valAx>
        <c:axId val="1679985855"/>
        <c:scaling>
          <c:orientation val="minMax"/>
          <c:max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4191"/>
        <c:crosses val="autoZero"/>
        <c:crossBetween val="midCat"/>
        <c:majorUnit val="1"/>
      </c:valAx>
      <c:valAx>
        <c:axId val="167998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'MVd H401'!$D$8</c:f>
              <c:strCache>
                <c:ptCount val="1"/>
                <c:pt idx="0">
                  <c:v>M/(Vd)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'MVd H401'!$A$9:$A$30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3.0000010000000001</c:v>
                </c:pt>
                <c:pt idx="8">
                  <c:v>3.5</c:v>
                </c:pt>
                <c:pt idx="9">
                  <c:v>4</c:v>
                </c:pt>
                <c:pt idx="10">
                  <c:v>4.0000010000000001</c:v>
                </c:pt>
                <c:pt idx="11">
                  <c:v>4.5</c:v>
                </c:pt>
                <c:pt idx="12">
                  <c:v>4.5000010000000001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</c:numCache>
            </c:numRef>
          </c:xVal>
          <c:yVal>
            <c:numRef>
              <c:f>'MVd H401'!$D$9:$D$30</c:f>
              <c:numCache>
                <c:formatCode>General</c:formatCode>
                <c:ptCount val="22"/>
                <c:pt idx="0">
                  <c:v>0</c:v>
                </c:pt>
                <c:pt idx="1">
                  <c:v>0.43177892918825567</c:v>
                </c:pt>
                <c:pt idx="2">
                  <c:v>0.86355785837651133</c:v>
                </c:pt>
                <c:pt idx="3">
                  <c:v>1.295336787564767</c:v>
                </c:pt>
                <c:pt idx="4">
                  <c:v>1.7271157167530227</c:v>
                </c:pt>
                <c:pt idx="5">
                  <c:v>2.1588946459412783</c:v>
                </c:pt>
                <c:pt idx="6">
                  <c:v>2.590673575129534</c:v>
                </c:pt>
                <c:pt idx="7">
                  <c:v>2.5906744386873926</c:v>
                </c:pt>
                <c:pt idx="8">
                  <c:v>3.0224525043177897</c:v>
                </c:pt>
                <c:pt idx="9">
                  <c:v>3.4542314335060453</c:v>
                </c:pt>
                <c:pt idx="10">
                  <c:v>3.4542322970639039</c:v>
                </c:pt>
                <c:pt idx="11">
                  <c:v>3.886010362694301</c:v>
                </c:pt>
                <c:pt idx="12">
                  <c:v>-3.886009499136442</c:v>
                </c:pt>
                <c:pt idx="13">
                  <c:v>-3.4542314335060453</c:v>
                </c:pt>
                <c:pt idx="14">
                  <c:v>-3.0224525043177897</c:v>
                </c:pt>
                <c:pt idx="15">
                  <c:v>-2.590673575129534</c:v>
                </c:pt>
                <c:pt idx="16">
                  <c:v>-2.1588946459412783</c:v>
                </c:pt>
                <c:pt idx="17">
                  <c:v>-1.7271157167530227</c:v>
                </c:pt>
                <c:pt idx="18">
                  <c:v>-1.295336787564767</c:v>
                </c:pt>
                <c:pt idx="19">
                  <c:v>-0.86355785837651133</c:v>
                </c:pt>
                <c:pt idx="20">
                  <c:v>-0.43177892918825567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93-4CE3-A1EE-128B2FA84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985855"/>
        <c:axId val="1679984191"/>
      </c:scatterChart>
      <c:valAx>
        <c:axId val="1679985855"/>
        <c:scaling>
          <c:orientation val="minMax"/>
          <c:max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4191"/>
        <c:crosses val="autoZero"/>
        <c:crossBetween val="midCat"/>
      </c:valAx>
      <c:valAx>
        <c:axId val="167998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'MVd H403'!$B$8</c:f>
              <c:strCache>
                <c:ptCount val="1"/>
                <c:pt idx="0">
                  <c:v>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'MVd H403'!$A$9:$A$30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3.0000010000000001</c:v>
                </c:pt>
                <c:pt idx="8">
                  <c:v>3.5</c:v>
                </c:pt>
                <c:pt idx="9">
                  <c:v>4</c:v>
                </c:pt>
                <c:pt idx="10">
                  <c:v>4.0000010000000001</c:v>
                </c:pt>
                <c:pt idx="11">
                  <c:v>4.5</c:v>
                </c:pt>
                <c:pt idx="12">
                  <c:v>4.5000010000000001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</c:numCache>
            </c:numRef>
          </c:xVal>
          <c:yVal>
            <c:numRef>
              <c:f>'MVd H403'!$B$9:$B$30</c:f>
              <c:numCache>
                <c:formatCode>General</c:formatCode>
                <c:ptCount val="22"/>
                <c:pt idx="0">
                  <c:v>0</c:v>
                </c:pt>
                <c:pt idx="1">
                  <c:v>86.5</c:v>
                </c:pt>
                <c:pt idx="2">
                  <c:v>173</c:v>
                </c:pt>
                <c:pt idx="3">
                  <c:v>259.5</c:v>
                </c:pt>
                <c:pt idx="4">
                  <c:v>346</c:v>
                </c:pt>
                <c:pt idx="5">
                  <c:v>432.5</c:v>
                </c:pt>
                <c:pt idx="6">
                  <c:v>519</c:v>
                </c:pt>
                <c:pt idx="7">
                  <c:v>519.00017300000002</c:v>
                </c:pt>
                <c:pt idx="8">
                  <c:v>605.5</c:v>
                </c:pt>
                <c:pt idx="9">
                  <c:v>692</c:v>
                </c:pt>
                <c:pt idx="10">
                  <c:v>692.00017300000002</c:v>
                </c:pt>
                <c:pt idx="11">
                  <c:v>778.5</c:v>
                </c:pt>
                <c:pt idx="12">
                  <c:v>778.49982699999998</c:v>
                </c:pt>
                <c:pt idx="13">
                  <c:v>692</c:v>
                </c:pt>
                <c:pt idx="14">
                  <c:v>605.5</c:v>
                </c:pt>
                <c:pt idx="15">
                  <c:v>519</c:v>
                </c:pt>
                <c:pt idx="16">
                  <c:v>432.5</c:v>
                </c:pt>
                <c:pt idx="17">
                  <c:v>346</c:v>
                </c:pt>
                <c:pt idx="18">
                  <c:v>259.5</c:v>
                </c:pt>
                <c:pt idx="19">
                  <c:v>173</c:v>
                </c:pt>
                <c:pt idx="20">
                  <c:v>86.5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5-48B2-A552-3FCAB61E0BA8}"/>
            </c:ext>
          </c:extLst>
        </c:ser>
        <c:ser>
          <c:idx val="1"/>
          <c:order val="1"/>
          <c:tx>
            <c:strRef>
              <c:f>'MVd H403'!$C$8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'MVd H403'!$A$9:$A$30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3.0000010000000001</c:v>
                </c:pt>
                <c:pt idx="8">
                  <c:v>3.5</c:v>
                </c:pt>
                <c:pt idx="9">
                  <c:v>4</c:v>
                </c:pt>
                <c:pt idx="10">
                  <c:v>4.0000010000000001</c:v>
                </c:pt>
                <c:pt idx="11">
                  <c:v>4.5</c:v>
                </c:pt>
                <c:pt idx="12">
                  <c:v>4.5000010000000001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</c:numCache>
            </c:numRef>
          </c:xVal>
          <c:yVal>
            <c:numRef>
              <c:f>'MVd H403'!$C$9:$C$30</c:f>
              <c:numCache>
                <c:formatCode>General</c:formatCode>
                <c:ptCount val="22"/>
                <c:pt idx="0">
                  <c:v>173</c:v>
                </c:pt>
                <c:pt idx="1">
                  <c:v>173</c:v>
                </c:pt>
                <c:pt idx="2">
                  <c:v>173</c:v>
                </c:pt>
                <c:pt idx="3">
                  <c:v>173</c:v>
                </c:pt>
                <c:pt idx="4">
                  <c:v>173</c:v>
                </c:pt>
                <c:pt idx="5">
                  <c:v>173</c:v>
                </c:pt>
                <c:pt idx="6">
                  <c:v>173</c:v>
                </c:pt>
                <c:pt idx="7">
                  <c:v>173</c:v>
                </c:pt>
                <c:pt idx="8">
                  <c:v>173</c:v>
                </c:pt>
                <c:pt idx="9">
                  <c:v>173</c:v>
                </c:pt>
                <c:pt idx="10">
                  <c:v>173</c:v>
                </c:pt>
                <c:pt idx="11">
                  <c:v>173</c:v>
                </c:pt>
                <c:pt idx="12">
                  <c:v>-173</c:v>
                </c:pt>
                <c:pt idx="13">
                  <c:v>-173</c:v>
                </c:pt>
                <c:pt idx="14">
                  <c:v>-173</c:v>
                </c:pt>
                <c:pt idx="15">
                  <c:v>-173</c:v>
                </c:pt>
                <c:pt idx="16">
                  <c:v>-173</c:v>
                </c:pt>
                <c:pt idx="17">
                  <c:v>-173</c:v>
                </c:pt>
                <c:pt idx="18">
                  <c:v>-173</c:v>
                </c:pt>
                <c:pt idx="19">
                  <c:v>-173</c:v>
                </c:pt>
                <c:pt idx="20">
                  <c:v>-173</c:v>
                </c:pt>
                <c:pt idx="21">
                  <c:v>-173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5-48B2-A552-3FCAB61E0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985855"/>
        <c:axId val="1679984191"/>
      </c:scatterChart>
      <c:valAx>
        <c:axId val="1679985855"/>
        <c:scaling>
          <c:orientation val="minMax"/>
          <c:max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4191"/>
        <c:crosses val="autoZero"/>
        <c:crossBetween val="midCat"/>
        <c:majorUnit val="1"/>
      </c:valAx>
      <c:valAx>
        <c:axId val="167998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'MVd H403'!$D$8</c:f>
              <c:strCache>
                <c:ptCount val="1"/>
                <c:pt idx="0">
                  <c:v>M/(Vd)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'MVd H403'!$A$9:$A$30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3.0000010000000001</c:v>
                </c:pt>
                <c:pt idx="8">
                  <c:v>3.5</c:v>
                </c:pt>
                <c:pt idx="9">
                  <c:v>4</c:v>
                </c:pt>
                <c:pt idx="10">
                  <c:v>4.0000010000000001</c:v>
                </c:pt>
                <c:pt idx="11">
                  <c:v>4.5</c:v>
                </c:pt>
                <c:pt idx="12">
                  <c:v>4.5000010000000001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</c:numCache>
            </c:numRef>
          </c:xVal>
          <c:yVal>
            <c:numRef>
              <c:f>'MVd H403'!$D$9:$D$30</c:f>
              <c:numCache>
                <c:formatCode>General</c:formatCode>
                <c:ptCount val="22"/>
                <c:pt idx="0">
                  <c:v>0</c:v>
                </c:pt>
                <c:pt idx="1">
                  <c:v>0.43177892918825567</c:v>
                </c:pt>
                <c:pt idx="2">
                  <c:v>0.86355785837651133</c:v>
                </c:pt>
                <c:pt idx="3">
                  <c:v>1.295336787564767</c:v>
                </c:pt>
                <c:pt idx="4">
                  <c:v>1.7271157167530227</c:v>
                </c:pt>
                <c:pt idx="5">
                  <c:v>2.1588946459412783</c:v>
                </c:pt>
                <c:pt idx="6">
                  <c:v>2.590673575129534</c:v>
                </c:pt>
                <c:pt idx="7">
                  <c:v>2.5906744386873926</c:v>
                </c:pt>
                <c:pt idx="8">
                  <c:v>3.0224525043177897</c:v>
                </c:pt>
                <c:pt idx="9">
                  <c:v>3.4542314335060453</c:v>
                </c:pt>
                <c:pt idx="10">
                  <c:v>3.4542322970639039</c:v>
                </c:pt>
                <c:pt idx="11">
                  <c:v>3.886010362694301</c:v>
                </c:pt>
                <c:pt idx="12">
                  <c:v>-3.8860094991364424</c:v>
                </c:pt>
                <c:pt idx="13">
                  <c:v>-3.4542314335060453</c:v>
                </c:pt>
                <c:pt idx="14">
                  <c:v>-3.0224525043177897</c:v>
                </c:pt>
                <c:pt idx="15">
                  <c:v>-2.590673575129534</c:v>
                </c:pt>
                <c:pt idx="16">
                  <c:v>-2.1588946459412783</c:v>
                </c:pt>
                <c:pt idx="17">
                  <c:v>-1.7271157167530227</c:v>
                </c:pt>
                <c:pt idx="18">
                  <c:v>-1.295336787564767</c:v>
                </c:pt>
                <c:pt idx="19">
                  <c:v>-0.86355785837651133</c:v>
                </c:pt>
                <c:pt idx="20">
                  <c:v>-0.43177892918825567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F5-4F54-8E00-5276EB56A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985855"/>
        <c:axId val="1679984191"/>
      </c:scatterChart>
      <c:valAx>
        <c:axId val="1679985855"/>
        <c:scaling>
          <c:orientation val="minMax"/>
          <c:max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4191"/>
        <c:crosses val="autoZero"/>
        <c:crossBetween val="midCat"/>
      </c:valAx>
      <c:valAx>
        <c:axId val="167998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'MVd H404'!$B$8</c:f>
              <c:strCache>
                <c:ptCount val="1"/>
                <c:pt idx="0">
                  <c:v>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'MVd H404'!$A$9:$A$30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3.0000010000000001</c:v>
                </c:pt>
                <c:pt idx="8">
                  <c:v>3.5</c:v>
                </c:pt>
                <c:pt idx="9">
                  <c:v>4</c:v>
                </c:pt>
                <c:pt idx="10">
                  <c:v>4.0000010000000001</c:v>
                </c:pt>
                <c:pt idx="11">
                  <c:v>4.5</c:v>
                </c:pt>
                <c:pt idx="12">
                  <c:v>4.5000010000000001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</c:numCache>
            </c:numRef>
          </c:xVal>
          <c:yVal>
            <c:numRef>
              <c:f>'MVd H404'!$B$9:$B$30</c:f>
              <c:numCache>
                <c:formatCode>General</c:formatCode>
                <c:ptCount val="22"/>
                <c:pt idx="0">
                  <c:v>0</c:v>
                </c:pt>
                <c:pt idx="1">
                  <c:v>74.722222222222229</c:v>
                </c:pt>
                <c:pt idx="2">
                  <c:v>149.44444444444446</c:v>
                </c:pt>
                <c:pt idx="3">
                  <c:v>224.16666666666669</c:v>
                </c:pt>
                <c:pt idx="4">
                  <c:v>298.88888888888891</c:v>
                </c:pt>
                <c:pt idx="5">
                  <c:v>373.61111111111114</c:v>
                </c:pt>
                <c:pt idx="6">
                  <c:v>448.33333333333337</c:v>
                </c:pt>
                <c:pt idx="7">
                  <c:v>448.33348277777782</c:v>
                </c:pt>
                <c:pt idx="8">
                  <c:v>523.05555555555566</c:v>
                </c:pt>
                <c:pt idx="9">
                  <c:v>597.77777777777783</c:v>
                </c:pt>
                <c:pt idx="10">
                  <c:v>597.77765822222216</c:v>
                </c:pt>
                <c:pt idx="11">
                  <c:v>538</c:v>
                </c:pt>
                <c:pt idx="12">
                  <c:v>537.99988044444433</c:v>
                </c:pt>
                <c:pt idx="13">
                  <c:v>478.22222222222217</c:v>
                </c:pt>
                <c:pt idx="14">
                  <c:v>418.4444444444444</c:v>
                </c:pt>
                <c:pt idx="15">
                  <c:v>358.66666666666663</c:v>
                </c:pt>
                <c:pt idx="16">
                  <c:v>298.88888888888886</c:v>
                </c:pt>
                <c:pt idx="17">
                  <c:v>239.11111111111109</c:v>
                </c:pt>
                <c:pt idx="18">
                  <c:v>179.33333333333331</c:v>
                </c:pt>
                <c:pt idx="19">
                  <c:v>119.55555555555554</c:v>
                </c:pt>
                <c:pt idx="20">
                  <c:v>59.777777777777771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E2-4AB4-B52A-71BA0FC89066}"/>
            </c:ext>
          </c:extLst>
        </c:ser>
        <c:ser>
          <c:idx val="1"/>
          <c:order val="1"/>
          <c:tx>
            <c:strRef>
              <c:f>'MVd H404'!$C$8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'MVd H404'!$A$9:$A$30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3.0000010000000001</c:v>
                </c:pt>
                <c:pt idx="8">
                  <c:v>3.5</c:v>
                </c:pt>
                <c:pt idx="9">
                  <c:v>4</c:v>
                </c:pt>
                <c:pt idx="10">
                  <c:v>4.0000010000000001</c:v>
                </c:pt>
                <c:pt idx="11">
                  <c:v>4.5</c:v>
                </c:pt>
                <c:pt idx="12">
                  <c:v>4.5000010000000001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</c:numCache>
            </c:numRef>
          </c:xVal>
          <c:yVal>
            <c:numRef>
              <c:f>'MVd H404'!$C$9:$C$30</c:f>
              <c:numCache>
                <c:formatCode>General</c:formatCode>
                <c:ptCount val="22"/>
                <c:pt idx="0">
                  <c:v>149.44444444444446</c:v>
                </c:pt>
                <c:pt idx="1">
                  <c:v>149.44444444444446</c:v>
                </c:pt>
                <c:pt idx="2">
                  <c:v>149.44444444444446</c:v>
                </c:pt>
                <c:pt idx="3">
                  <c:v>149.44444444444446</c:v>
                </c:pt>
                <c:pt idx="4">
                  <c:v>149.44444444444446</c:v>
                </c:pt>
                <c:pt idx="5">
                  <c:v>149.44444444444446</c:v>
                </c:pt>
                <c:pt idx="6">
                  <c:v>149.44444444444446</c:v>
                </c:pt>
                <c:pt idx="7">
                  <c:v>149.44444444444446</c:v>
                </c:pt>
                <c:pt idx="8">
                  <c:v>149.44444444444446</c:v>
                </c:pt>
                <c:pt idx="9">
                  <c:v>149.44444444444446</c:v>
                </c:pt>
                <c:pt idx="10">
                  <c:v>-119.55555555555554</c:v>
                </c:pt>
                <c:pt idx="11">
                  <c:v>-119.55555555555554</c:v>
                </c:pt>
                <c:pt idx="12">
                  <c:v>-119.55555555555554</c:v>
                </c:pt>
                <c:pt idx="13">
                  <c:v>-119.55555555555554</c:v>
                </c:pt>
                <c:pt idx="14">
                  <c:v>-119.55555555555554</c:v>
                </c:pt>
                <c:pt idx="15">
                  <c:v>-119.55555555555554</c:v>
                </c:pt>
                <c:pt idx="16">
                  <c:v>-119.55555555555554</c:v>
                </c:pt>
                <c:pt idx="17">
                  <c:v>-119.55555555555554</c:v>
                </c:pt>
                <c:pt idx="18">
                  <c:v>-119.55555555555554</c:v>
                </c:pt>
                <c:pt idx="19">
                  <c:v>-119.55555555555554</c:v>
                </c:pt>
                <c:pt idx="20">
                  <c:v>-119.55555555555554</c:v>
                </c:pt>
                <c:pt idx="21">
                  <c:v>-119.55555555555554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E2-4AB4-B52A-71BA0FC89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985855"/>
        <c:axId val="1679984191"/>
      </c:scatterChart>
      <c:valAx>
        <c:axId val="1679985855"/>
        <c:scaling>
          <c:orientation val="minMax"/>
          <c:max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4191"/>
        <c:crosses val="autoZero"/>
        <c:crossBetween val="midCat"/>
        <c:majorUnit val="1"/>
      </c:valAx>
      <c:valAx>
        <c:axId val="167998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'MVd H404'!$D$8</c:f>
              <c:strCache>
                <c:ptCount val="1"/>
                <c:pt idx="0">
                  <c:v>M/(Vd)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'MVd H404'!$A$9:$A$30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3.0000010000000001</c:v>
                </c:pt>
                <c:pt idx="8">
                  <c:v>3.5</c:v>
                </c:pt>
                <c:pt idx="9">
                  <c:v>4</c:v>
                </c:pt>
                <c:pt idx="10">
                  <c:v>4.0000010000000001</c:v>
                </c:pt>
                <c:pt idx="11">
                  <c:v>4.5</c:v>
                </c:pt>
                <c:pt idx="12">
                  <c:v>4.5000010000000001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</c:numCache>
            </c:numRef>
          </c:xVal>
          <c:yVal>
            <c:numRef>
              <c:f>'MVd H404'!$D$9:$D$30</c:f>
              <c:numCache>
                <c:formatCode>General</c:formatCode>
                <c:ptCount val="22"/>
                <c:pt idx="0">
                  <c:v>0</c:v>
                </c:pt>
                <c:pt idx="1">
                  <c:v>0.43177892918825561</c:v>
                </c:pt>
                <c:pt idx="2">
                  <c:v>0.86355785837651122</c:v>
                </c:pt>
                <c:pt idx="3">
                  <c:v>1.295336787564767</c:v>
                </c:pt>
                <c:pt idx="4">
                  <c:v>1.7271157167530224</c:v>
                </c:pt>
                <c:pt idx="5">
                  <c:v>2.1588946459412783</c:v>
                </c:pt>
                <c:pt idx="6">
                  <c:v>2.590673575129534</c:v>
                </c:pt>
                <c:pt idx="7">
                  <c:v>2.5906744386873921</c:v>
                </c:pt>
                <c:pt idx="8">
                  <c:v>3.0224525043177897</c:v>
                </c:pt>
                <c:pt idx="9">
                  <c:v>3.4542314335060449</c:v>
                </c:pt>
                <c:pt idx="10">
                  <c:v>-4.3177884283246977</c:v>
                </c:pt>
                <c:pt idx="11">
                  <c:v>-3.886010362694301</c:v>
                </c:pt>
                <c:pt idx="12">
                  <c:v>-3.886009499136442</c:v>
                </c:pt>
                <c:pt idx="13">
                  <c:v>-3.4542314335060453</c:v>
                </c:pt>
                <c:pt idx="14">
                  <c:v>-3.0224525043177897</c:v>
                </c:pt>
                <c:pt idx="15">
                  <c:v>-2.590673575129534</c:v>
                </c:pt>
                <c:pt idx="16">
                  <c:v>-2.1588946459412783</c:v>
                </c:pt>
                <c:pt idx="17">
                  <c:v>-1.7271157167530227</c:v>
                </c:pt>
                <c:pt idx="18">
                  <c:v>-1.295336787564767</c:v>
                </c:pt>
                <c:pt idx="19">
                  <c:v>-0.86355785837651133</c:v>
                </c:pt>
                <c:pt idx="20">
                  <c:v>-0.43177892918825567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1-4662-8159-D1B3A031A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985855"/>
        <c:axId val="1679984191"/>
      </c:scatterChart>
      <c:valAx>
        <c:axId val="1679985855"/>
        <c:scaling>
          <c:orientation val="minMax"/>
          <c:max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4191"/>
        <c:crosses val="autoZero"/>
        <c:crossBetween val="midCat"/>
      </c:valAx>
      <c:valAx>
        <c:axId val="167998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'MVd H602'!$B$8</c:f>
              <c:strCache>
                <c:ptCount val="1"/>
                <c:pt idx="0">
                  <c:v>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'MVd H602'!$A$9:$A$30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3.0000010000000001</c:v>
                </c:pt>
                <c:pt idx="8">
                  <c:v>3.5</c:v>
                </c:pt>
                <c:pt idx="9">
                  <c:v>4</c:v>
                </c:pt>
                <c:pt idx="10">
                  <c:v>4.0000010000000001</c:v>
                </c:pt>
                <c:pt idx="11">
                  <c:v>4.5</c:v>
                </c:pt>
                <c:pt idx="12">
                  <c:v>4.5000010000000001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</c:numCache>
            </c:numRef>
          </c:xVal>
          <c:yVal>
            <c:numRef>
              <c:f>'MVd H602'!$B$9:$B$30</c:f>
              <c:numCache>
                <c:formatCode>General</c:formatCode>
                <c:ptCount val="22"/>
                <c:pt idx="0">
                  <c:v>0</c:v>
                </c:pt>
                <c:pt idx="1">
                  <c:v>76.5</c:v>
                </c:pt>
                <c:pt idx="2">
                  <c:v>153</c:v>
                </c:pt>
                <c:pt idx="3">
                  <c:v>229.5</c:v>
                </c:pt>
                <c:pt idx="4">
                  <c:v>306</c:v>
                </c:pt>
                <c:pt idx="5">
                  <c:v>382.5</c:v>
                </c:pt>
                <c:pt idx="6">
                  <c:v>459</c:v>
                </c:pt>
                <c:pt idx="7">
                  <c:v>459.00015300000001</c:v>
                </c:pt>
                <c:pt idx="8">
                  <c:v>535.5</c:v>
                </c:pt>
                <c:pt idx="9">
                  <c:v>612</c:v>
                </c:pt>
                <c:pt idx="10">
                  <c:v>612.00015300000007</c:v>
                </c:pt>
                <c:pt idx="11">
                  <c:v>688.5</c:v>
                </c:pt>
                <c:pt idx="12">
                  <c:v>688.49984699999993</c:v>
                </c:pt>
                <c:pt idx="13">
                  <c:v>612</c:v>
                </c:pt>
                <c:pt idx="14">
                  <c:v>535.5</c:v>
                </c:pt>
                <c:pt idx="15">
                  <c:v>459</c:v>
                </c:pt>
                <c:pt idx="16">
                  <c:v>382.5</c:v>
                </c:pt>
                <c:pt idx="17">
                  <c:v>306</c:v>
                </c:pt>
                <c:pt idx="18">
                  <c:v>229.5</c:v>
                </c:pt>
                <c:pt idx="19">
                  <c:v>153</c:v>
                </c:pt>
                <c:pt idx="20">
                  <c:v>76.5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06-43D6-994D-6BAD2BDE5F75}"/>
            </c:ext>
          </c:extLst>
        </c:ser>
        <c:ser>
          <c:idx val="1"/>
          <c:order val="1"/>
          <c:tx>
            <c:strRef>
              <c:f>'MVd H602'!$C$8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'MVd H602'!$A$9:$A$30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3.0000010000000001</c:v>
                </c:pt>
                <c:pt idx="8">
                  <c:v>3.5</c:v>
                </c:pt>
                <c:pt idx="9">
                  <c:v>4</c:v>
                </c:pt>
                <c:pt idx="10">
                  <c:v>4.0000010000000001</c:v>
                </c:pt>
                <c:pt idx="11">
                  <c:v>4.5</c:v>
                </c:pt>
                <c:pt idx="12">
                  <c:v>4.5000010000000001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</c:numCache>
            </c:numRef>
          </c:xVal>
          <c:yVal>
            <c:numRef>
              <c:f>'MVd H602'!$C$9:$C$30</c:f>
              <c:numCache>
                <c:formatCode>General</c:formatCode>
                <c:ptCount val="22"/>
                <c:pt idx="0">
                  <c:v>153</c:v>
                </c:pt>
                <c:pt idx="1">
                  <c:v>153</c:v>
                </c:pt>
                <c:pt idx="2">
                  <c:v>153</c:v>
                </c:pt>
                <c:pt idx="3">
                  <c:v>153</c:v>
                </c:pt>
                <c:pt idx="4">
                  <c:v>153</c:v>
                </c:pt>
                <c:pt idx="5">
                  <c:v>153</c:v>
                </c:pt>
                <c:pt idx="6">
                  <c:v>153</c:v>
                </c:pt>
                <c:pt idx="7">
                  <c:v>153</c:v>
                </c:pt>
                <c:pt idx="8">
                  <c:v>153</c:v>
                </c:pt>
                <c:pt idx="9">
                  <c:v>153</c:v>
                </c:pt>
                <c:pt idx="10">
                  <c:v>153</c:v>
                </c:pt>
                <c:pt idx="11">
                  <c:v>153</c:v>
                </c:pt>
                <c:pt idx="12">
                  <c:v>-153</c:v>
                </c:pt>
                <c:pt idx="13">
                  <c:v>-153</c:v>
                </c:pt>
                <c:pt idx="14">
                  <c:v>-153</c:v>
                </c:pt>
                <c:pt idx="15">
                  <c:v>-153</c:v>
                </c:pt>
                <c:pt idx="16">
                  <c:v>-153</c:v>
                </c:pt>
                <c:pt idx="17">
                  <c:v>-153</c:v>
                </c:pt>
                <c:pt idx="18">
                  <c:v>-153</c:v>
                </c:pt>
                <c:pt idx="19">
                  <c:v>-153</c:v>
                </c:pt>
                <c:pt idx="20">
                  <c:v>-153</c:v>
                </c:pt>
                <c:pt idx="21">
                  <c:v>-153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06-43D6-994D-6BAD2BDE5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985855"/>
        <c:axId val="1679984191"/>
      </c:scatterChart>
      <c:valAx>
        <c:axId val="1679985855"/>
        <c:scaling>
          <c:orientation val="minMax"/>
          <c:max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4191"/>
        <c:crosses val="autoZero"/>
        <c:crossBetween val="midCat"/>
        <c:majorUnit val="1"/>
      </c:valAx>
      <c:valAx>
        <c:axId val="167998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'MVd H602'!$D$8</c:f>
              <c:strCache>
                <c:ptCount val="1"/>
                <c:pt idx="0">
                  <c:v>M/(Vd)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'MVd H602'!$A$9:$A$30</c:f>
              <c:numCache>
                <c:formatCode>General</c:formatCode>
                <c:ptCount val="2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3.0000010000000001</c:v>
                </c:pt>
                <c:pt idx="8">
                  <c:v>3.5</c:v>
                </c:pt>
                <c:pt idx="9">
                  <c:v>4</c:v>
                </c:pt>
                <c:pt idx="10">
                  <c:v>4.0000010000000001</c:v>
                </c:pt>
                <c:pt idx="11">
                  <c:v>4.5</c:v>
                </c:pt>
                <c:pt idx="12">
                  <c:v>4.5000010000000001</c:v>
                </c:pt>
                <c:pt idx="13">
                  <c:v>5</c:v>
                </c:pt>
                <c:pt idx="14">
                  <c:v>5.5</c:v>
                </c:pt>
                <c:pt idx="15">
                  <c:v>6</c:v>
                </c:pt>
                <c:pt idx="16">
                  <c:v>6.5</c:v>
                </c:pt>
                <c:pt idx="17">
                  <c:v>7</c:v>
                </c:pt>
                <c:pt idx="18">
                  <c:v>7.5</c:v>
                </c:pt>
                <c:pt idx="19">
                  <c:v>8</c:v>
                </c:pt>
                <c:pt idx="20">
                  <c:v>8.5</c:v>
                </c:pt>
                <c:pt idx="21">
                  <c:v>9</c:v>
                </c:pt>
              </c:numCache>
            </c:numRef>
          </c:xVal>
          <c:yVal>
            <c:numRef>
              <c:f>'MVd H602'!$D$9:$D$30</c:f>
              <c:numCache>
                <c:formatCode>General</c:formatCode>
                <c:ptCount val="22"/>
                <c:pt idx="0">
                  <c:v>0</c:v>
                </c:pt>
                <c:pt idx="1">
                  <c:v>0.43177892918825567</c:v>
                </c:pt>
                <c:pt idx="2">
                  <c:v>0.86355785837651133</c:v>
                </c:pt>
                <c:pt idx="3">
                  <c:v>1.295336787564767</c:v>
                </c:pt>
                <c:pt idx="4">
                  <c:v>1.7271157167530227</c:v>
                </c:pt>
                <c:pt idx="5">
                  <c:v>2.1588946459412783</c:v>
                </c:pt>
                <c:pt idx="6">
                  <c:v>2.590673575129534</c:v>
                </c:pt>
                <c:pt idx="7">
                  <c:v>2.5906744386873926</c:v>
                </c:pt>
                <c:pt idx="8">
                  <c:v>3.0224525043177897</c:v>
                </c:pt>
                <c:pt idx="9">
                  <c:v>3.4542314335060453</c:v>
                </c:pt>
                <c:pt idx="10">
                  <c:v>3.4542322970639039</c:v>
                </c:pt>
                <c:pt idx="11">
                  <c:v>3.886010362694301</c:v>
                </c:pt>
                <c:pt idx="12">
                  <c:v>-3.8860094991364424</c:v>
                </c:pt>
                <c:pt idx="13">
                  <c:v>-3.4542314335060453</c:v>
                </c:pt>
                <c:pt idx="14">
                  <c:v>-3.0224525043177897</c:v>
                </c:pt>
                <c:pt idx="15">
                  <c:v>-2.590673575129534</c:v>
                </c:pt>
                <c:pt idx="16">
                  <c:v>-2.1588946459412783</c:v>
                </c:pt>
                <c:pt idx="17">
                  <c:v>-1.7271157167530227</c:v>
                </c:pt>
                <c:pt idx="18">
                  <c:v>-1.295336787564767</c:v>
                </c:pt>
                <c:pt idx="19">
                  <c:v>-0.86355785837651133</c:v>
                </c:pt>
                <c:pt idx="20">
                  <c:v>-0.43177892918825567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AB-4F47-A69B-35EC9D7EF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985855"/>
        <c:axId val="1679984191"/>
      </c:scatterChart>
      <c:valAx>
        <c:axId val="1679985855"/>
        <c:scaling>
          <c:orientation val="minMax"/>
          <c:max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4191"/>
        <c:crosses val="autoZero"/>
        <c:crossBetween val="midCat"/>
      </c:valAx>
      <c:valAx>
        <c:axId val="167998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8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69761372110365"/>
          <c:y val="3.7991452991452991E-2"/>
          <c:w val="0.80127181208053688"/>
          <c:h val="0.79720683760683775"/>
        </c:manualLayout>
      </c:layout>
      <c:scatterChart>
        <c:scatterStyle val="lineMarker"/>
        <c:varyColors val="0"/>
        <c:ser>
          <c:idx val="4"/>
          <c:order val="0"/>
          <c:tx>
            <c:v>H121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'H121'!$E$48:$ZZ$48</c:f>
              <c:numCache>
                <c:formatCode>0.000</c:formatCode>
                <c:ptCount val="698"/>
                <c:pt idx="0">
                  <c:v>0</c:v>
                </c:pt>
                <c:pt idx="1">
                  <c:v>2.8853672801414952E-2</c:v>
                </c:pt>
                <c:pt idx="2">
                  <c:v>2.8853672801414952E-2</c:v>
                </c:pt>
                <c:pt idx="3">
                  <c:v>6.8798838442835963E-2</c:v>
                </c:pt>
                <c:pt idx="4">
                  <c:v>6.8798838442835963E-2</c:v>
                </c:pt>
                <c:pt idx="5">
                  <c:v>6.8798838442835963E-2</c:v>
                </c:pt>
                <c:pt idx="6">
                  <c:v>6.8798838442835963E-2</c:v>
                </c:pt>
                <c:pt idx="7">
                  <c:v>6.8798838442835963E-2</c:v>
                </c:pt>
                <c:pt idx="8">
                  <c:v>6.8798838442835963E-2</c:v>
                </c:pt>
                <c:pt idx="9">
                  <c:v>6.8798838442835963E-2</c:v>
                </c:pt>
                <c:pt idx="10">
                  <c:v>8.0264863196508704E-2</c:v>
                </c:pt>
                <c:pt idx="11">
                  <c:v>8.0264863196508704E-2</c:v>
                </c:pt>
                <c:pt idx="12">
                  <c:v>8.0264863196508704E-2</c:v>
                </c:pt>
                <c:pt idx="13">
                  <c:v>8.0264863196508704E-2</c:v>
                </c:pt>
                <c:pt idx="14">
                  <c:v>8.0264863196508704E-2</c:v>
                </c:pt>
                <c:pt idx="15">
                  <c:v>8.0264863196508704E-2</c:v>
                </c:pt>
                <c:pt idx="16">
                  <c:v>8.0264863196508704E-2</c:v>
                </c:pt>
                <c:pt idx="17">
                  <c:v>9.343218374052549E-2</c:v>
                </c:pt>
                <c:pt idx="18">
                  <c:v>9.343218374052549E-2</c:v>
                </c:pt>
                <c:pt idx="19">
                  <c:v>9.343218374052549E-2</c:v>
                </c:pt>
                <c:pt idx="20">
                  <c:v>9.343218374052549E-2</c:v>
                </c:pt>
                <c:pt idx="21">
                  <c:v>9.343218374052549E-2</c:v>
                </c:pt>
                <c:pt idx="22">
                  <c:v>9.343218374052549E-2</c:v>
                </c:pt>
                <c:pt idx="23">
                  <c:v>9.343218374052549E-2</c:v>
                </c:pt>
                <c:pt idx="24">
                  <c:v>9.343218374052549E-2</c:v>
                </c:pt>
                <c:pt idx="25">
                  <c:v>0.1068014356287144</c:v>
                </c:pt>
                <c:pt idx="26">
                  <c:v>0.1068014356287144</c:v>
                </c:pt>
                <c:pt idx="27">
                  <c:v>0.19101289482640837</c:v>
                </c:pt>
                <c:pt idx="28">
                  <c:v>0.21556914657857057</c:v>
                </c:pt>
                <c:pt idx="29">
                  <c:v>0.22409378007268332</c:v>
                </c:pt>
                <c:pt idx="30">
                  <c:v>0.22409378007268332</c:v>
                </c:pt>
                <c:pt idx="31">
                  <c:v>0.22409378007268332</c:v>
                </c:pt>
                <c:pt idx="32">
                  <c:v>0.23936535619615507</c:v>
                </c:pt>
                <c:pt idx="33">
                  <c:v>0.24284726642541216</c:v>
                </c:pt>
                <c:pt idx="34">
                  <c:v>0.26347404786216466</c:v>
                </c:pt>
                <c:pt idx="35">
                  <c:v>0.30333461847160587</c:v>
                </c:pt>
                <c:pt idx="36">
                  <c:v>0.30333461847160587</c:v>
                </c:pt>
                <c:pt idx="37">
                  <c:v>0.30333461847160587</c:v>
                </c:pt>
                <c:pt idx="38">
                  <c:v>0.32101911731292782</c:v>
                </c:pt>
                <c:pt idx="39">
                  <c:v>0.32101911731292782</c:v>
                </c:pt>
                <c:pt idx="40">
                  <c:v>0.32101911731292782</c:v>
                </c:pt>
                <c:pt idx="41">
                  <c:v>0.32101911731292782</c:v>
                </c:pt>
                <c:pt idx="42">
                  <c:v>0.3308533139869172</c:v>
                </c:pt>
                <c:pt idx="43">
                  <c:v>0.33451074967932076</c:v>
                </c:pt>
                <c:pt idx="44">
                  <c:v>0.33451074967932076</c:v>
                </c:pt>
                <c:pt idx="45">
                  <c:v>0.39099939513967302</c:v>
                </c:pt>
                <c:pt idx="46">
                  <c:v>0.39099939513967302</c:v>
                </c:pt>
                <c:pt idx="47">
                  <c:v>0.39099939513967302</c:v>
                </c:pt>
                <c:pt idx="48">
                  <c:v>0.39099939513967302</c:v>
                </c:pt>
                <c:pt idx="49">
                  <c:v>0.39099939513967302</c:v>
                </c:pt>
                <c:pt idx="50">
                  <c:v>0.39099939513967302</c:v>
                </c:pt>
                <c:pt idx="51">
                  <c:v>0.39099939513967302</c:v>
                </c:pt>
                <c:pt idx="52">
                  <c:v>0.39099939513967302</c:v>
                </c:pt>
                <c:pt idx="53">
                  <c:v>0.39099939513967302</c:v>
                </c:pt>
                <c:pt idx="54">
                  <c:v>0.39099939513967302</c:v>
                </c:pt>
                <c:pt idx="55">
                  <c:v>0.39099939513967302</c:v>
                </c:pt>
                <c:pt idx="56">
                  <c:v>0.39099939513967302</c:v>
                </c:pt>
                <c:pt idx="57">
                  <c:v>0.39255526571859967</c:v>
                </c:pt>
                <c:pt idx="58" formatCode="General">
                  <c:v>10</c:v>
                </c:pt>
              </c:numCache>
            </c:numRef>
          </c:xVal>
          <c:yVal>
            <c:numRef>
              <c:f>'H121'!$E$49:$ZZ$49</c:f>
              <c:numCache>
                <c:formatCode>General</c:formatCode>
                <c:ptCount val="698"/>
                <c:pt idx="0">
                  <c:v>8.5777781566666658</c:v>
                </c:pt>
                <c:pt idx="1">
                  <c:v>4.1063830530783143</c:v>
                </c:pt>
                <c:pt idx="2">
                  <c:v>4.1063830530783143</c:v>
                </c:pt>
                <c:pt idx="3">
                  <c:v>4.1063830530783143</c:v>
                </c:pt>
                <c:pt idx="4">
                  <c:v>4.1063830530783143</c:v>
                </c:pt>
                <c:pt idx="5">
                  <c:v>4.0208334041341125</c:v>
                </c:pt>
                <c:pt idx="6">
                  <c:v>3.9793815124083309</c:v>
                </c:pt>
                <c:pt idx="7">
                  <c:v>2.6805555818142355</c:v>
                </c:pt>
                <c:pt idx="8">
                  <c:v>2.6805555818142355</c:v>
                </c:pt>
                <c:pt idx="9">
                  <c:v>2.6805555818142355</c:v>
                </c:pt>
                <c:pt idx="10">
                  <c:v>2.2840236857340424</c:v>
                </c:pt>
                <c:pt idx="11">
                  <c:v>2.2840236857340424</c:v>
                </c:pt>
                <c:pt idx="12">
                  <c:v>2.2840236857340424</c:v>
                </c:pt>
                <c:pt idx="13">
                  <c:v>1.9896907331278562</c:v>
                </c:pt>
                <c:pt idx="14">
                  <c:v>1.9896907331278562</c:v>
                </c:pt>
                <c:pt idx="15">
                  <c:v>1.9896907331278562</c:v>
                </c:pt>
                <c:pt idx="16">
                  <c:v>1.9896907331278562</c:v>
                </c:pt>
                <c:pt idx="17">
                  <c:v>1.9896907331278562</c:v>
                </c:pt>
                <c:pt idx="18">
                  <c:v>1.9896907331278562</c:v>
                </c:pt>
                <c:pt idx="19">
                  <c:v>1.9896907331278562</c:v>
                </c:pt>
                <c:pt idx="20">
                  <c:v>1.9896907331278562</c:v>
                </c:pt>
                <c:pt idx="21">
                  <c:v>1.7788018513931065</c:v>
                </c:pt>
                <c:pt idx="22">
                  <c:v>1.7788018513931065</c:v>
                </c:pt>
                <c:pt idx="23">
                  <c:v>1.7788018513931065</c:v>
                </c:pt>
                <c:pt idx="24">
                  <c:v>1.7545454622623964</c:v>
                </c:pt>
                <c:pt idx="25">
                  <c:v>1.7545454622623964</c:v>
                </c:pt>
                <c:pt idx="26">
                  <c:v>1.7545454622623964</c:v>
                </c:pt>
                <c:pt idx="27">
                  <c:v>1.7545454622623964</c:v>
                </c:pt>
                <c:pt idx="28">
                  <c:v>1.6495726558185402</c:v>
                </c:pt>
                <c:pt idx="29">
                  <c:v>1.5884773717040086</c:v>
                </c:pt>
                <c:pt idx="30">
                  <c:v>1.5884773717040086</c:v>
                </c:pt>
                <c:pt idx="31">
                  <c:v>1.5884773717040086</c:v>
                </c:pt>
                <c:pt idx="32">
                  <c:v>1.434944241556225</c:v>
                </c:pt>
                <c:pt idx="33">
                  <c:v>1.434944241556225</c:v>
                </c:pt>
                <c:pt idx="34">
                  <c:v>1.434944241556225</c:v>
                </c:pt>
                <c:pt idx="35">
                  <c:v>1.3129251724628626</c:v>
                </c:pt>
                <c:pt idx="36">
                  <c:v>1.3129251724628626</c:v>
                </c:pt>
                <c:pt idx="37">
                  <c:v>1.3129251724628626</c:v>
                </c:pt>
                <c:pt idx="38">
                  <c:v>1.2100313494437949</c:v>
                </c:pt>
                <c:pt idx="39">
                  <c:v>1.2100313494437949</c:v>
                </c:pt>
                <c:pt idx="40">
                  <c:v>1.2100313494437949</c:v>
                </c:pt>
                <c:pt idx="41">
                  <c:v>1.2100313494437949</c:v>
                </c:pt>
                <c:pt idx="42">
                  <c:v>1.1913580260202332</c:v>
                </c:pt>
                <c:pt idx="43">
                  <c:v>1.1804281357980531</c:v>
                </c:pt>
                <c:pt idx="44">
                  <c:v>1.1768292695056886</c:v>
                </c:pt>
                <c:pt idx="45">
                  <c:v>1.1661631431234656</c:v>
                </c:pt>
                <c:pt idx="46">
                  <c:v>1.1488095248060162</c:v>
                </c:pt>
                <c:pt idx="47">
                  <c:v>1.1188405804851922</c:v>
                </c:pt>
                <c:pt idx="48">
                  <c:v>1.1188405804851922</c:v>
                </c:pt>
                <c:pt idx="49">
                  <c:v>1.1188405804851922</c:v>
                </c:pt>
                <c:pt idx="50">
                  <c:v>1.1188405804851922</c:v>
                </c:pt>
                <c:pt idx="51">
                  <c:v>1.1188405804851922</c:v>
                </c:pt>
                <c:pt idx="52">
                  <c:v>1.0965909097083226</c:v>
                </c:pt>
                <c:pt idx="53">
                  <c:v>1.0722222226736111</c:v>
                </c:pt>
                <c:pt idx="54">
                  <c:v>1.0489130437773218</c:v>
                </c:pt>
                <c:pt idx="55">
                  <c:v>1.0157894737777009</c:v>
                </c:pt>
                <c:pt idx="56">
                  <c:v>1.0025974026125823</c:v>
                </c:pt>
                <c:pt idx="57">
                  <c:v>1</c:v>
                </c:pt>
                <c:pt idx="5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0C-4558-AECA-1D858FF238AB}"/>
            </c:ext>
          </c:extLst>
        </c:ser>
        <c:ser>
          <c:idx val="1"/>
          <c:order val="1"/>
          <c:tx>
            <c:v>H401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'H401'!$E$48:$ZZ$48</c:f>
              <c:numCache>
                <c:formatCode>0.000</c:formatCode>
                <c:ptCount val="698"/>
                <c:pt idx="0">
                  <c:v>0</c:v>
                </c:pt>
                <c:pt idx="1">
                  <c:v>8.1238630800611923E-3</c:v>
                </c:pt>
                <c:pt idx="2">
                  <c:v>5.7737560572203091E-2</c:v>
                </c:pt>
                <c:pt idx="3">
                  <c:v>5.7737560572203091E-2</c:v>
                </c:pt>
                <c:pt idx="4">
                  <c:v>5.7737560572203091E-2</c:v>
                </c:pt>
                <c:pt idx="5">
                  <c:v>5.7737560572203091E-2</c:v>
                </c:pt>
                <c:pt idx="6">
                  <c:v>5.7737560572203091E-2</c:v>
                </c:pt>
                <c:pt idx="7">
                  <c:v>5.7737560572203091E-2</c:v>
                </c:pt>
                <c:pt idx="8">
                  <c:v>5.7737560572203091E-2</c:v>
                </c:pt>
                <c:pt idx="9">
                  <c:v>5.7737560572203091E-2</c:v>
                </c:pt>
                <c:pt idx="10">
                  <c:v>5.7737560572203091E-2</c:v>
                </c:pt>
                <c:pt idx="11">
                  <c:v>7.9643785258993349E-2</c:v>
                </c:pt>
                <c:pt idx="12">
                  <c:v>0.17421677902077565</c:v>
                </c:pt>
                <c:pt idx="13">
                  <c:v>0.17421677902077565</c:v>
                </c:pt>
                <c:pt idx="14">
                  <c:v>0.17421677902077565</c:v>
                </c:pt>
                <c:pt idx="15">
                  <c:v>0.17421677902077565</c:v>
                </c:pt>
                <c:pt idx="16">
                  <c:v>0.17421677902077565</c:v>
                </c:pt>
                <c:pt idx="17">
                  <c:v>0.17421677902077565</c:v>
                </c:pt>
                <c:pt idx="18">
                  <c:v>0.17421677902077565</c:v>
                </c:pt>
                <c:pt idx="19">
                  <c:v>0.17421677902077565</c:v>
                </c:pt>
                <c:pt idx="20">
                  <c:v>0.27053157416824031</c:v>
                </c:pt>
                <c:pt idx="21">
                  <c:v>0.27949389074531422</c:v>
                </c:pt>
                <c:pt idx="22">
                  <c:v>0.31374487142234458</c:v>
                </c:pt>
                <c:pt idx="23">
                  <c:v>0.44037018740951273</c:v>
                </c:pt>
                <c:pt idx="24">
                  <c:v>0.44037018740951273</c:v>
                </c:pt>
                <c:pt idx="25">
                  <c:v>0.44037018740951273</c:v>
                </c:pt>
                <c:pt idx="26">
                  <c:v>0.44037018740951273</c:v>
                </c:pt>
                <c:pt idx="27">
                  <c:v>0.47282464475307012</c:v>
                </c:pt>
                <c:pt idx="28">
                  <c:v>0.47282464475307012</c:v>
                </c:pt>
                <c:pt idx="29">
                  <c:v>0.47282464475307012</c:v>
                </c:pt>
                <c:pt idx="30">
                  <c:v>0.47282464475307012</c:v>
                </c:pt>
                <c:pt idx="31">
                  <c:v>0.5106813220548021</c:v>
                </c:pt>
                <c:pt idx="32">
                  <c:v>0.51482845728993532</c:v>
                </c:pt>
                <c:pt idx="33">
                  <c:v>0.51482845728993532</c:v>
                </c:pt>
                <c:pt idx="34">
                  <c:v>0.52681967799882057</c:v>
                </c:pt>
                <c:pt idx="35">
                  <c:v>0.52681967799882057</c:v>
                </c:pt>
                <c:pt idx="36">
                  <c:v>0.5290822456968205</c:v>
                </c:pt>
                <c:pt idx="37">
                  <c:v>0.5290822456968205</c:v>
                </c:pt>
                <c:pt idx="38">
                  <c:v>0.5290822456968205</c:v>
                </c:pt>
                <c:pt idx="39">
                  <c:v>0.5290822456968205</c:v>
                </c:pt>
                <c:pt idx="40">
                  <c:v>0.5290822456968205</c:v>
                </c:pt>
                <c:pt idx="41">
                  <c:v>0.5290822456968205</c:v>
                </c:pt>
                <c:pt idx="42">
                  <c:v>0.55618959193522466</c:v>
                </c:pt>
                <c:pt idx="43">
                  <c:v>0.56125262078395655</c:v>
                </c:pt>
                <c:pt idx="44">
                  <c:v>0.56223216124188991</c:v>
                </c:pt>
                <c:pt idx="45">
                  <c:v>0.56223216124188991</c:v>
                </c:pt>
                <c:pt idx="46">
                  <c:v>0.56603156737626703</c:v>
                </c:pt>
                <c:pt idx="47">
                  <c:v>0.56603156737626703</c:v>
                </c:pt>
                <c:pt idx="48">
                  <c:v>0.58632016327953274</c:v>
                </c:pt>
                <c:pt idx="49">
                  <c:v>0.58946059172073595</c:v>
                </c:pt>
                <c:pt idx="50">
                  <c:v>0.58946059172073595</c:v>
                </c:pt>
                <c:pt idx="51">
                  <c:v>0.59186908145208883</c:v>
                </c:pt>
                <c:pt idx="52">
                  <c:v>0.59602620800052897</c:v>
                </c:pt>
                <c:pt idx="53">
                  <c:v>0.60894946201069466</c:v>
                </c:pt>
                <c:pt idx="54">
                  <c:v>0.61366680804013563</c:v>
                </c:pt>
                <c:pt idx="55">
                  <c:v>0.68001063766585357</c:v>
                </c:pt>
                <c:pt idx="56" formatCode="General">
                  <c:v>10</c:v>
                </c:pt>
              </c:numCache>
            </c:numRef>
          </c:xVal>
          <c:yVal>
            <c:numRef>
              <c:f>'H401'!$E$49:$ZZ$49</c:f>
              <c:numCache>
                <c:formatCode>General</c:formatCode>
                <c:ptCount val="698"/>
                <c:pt idx="0">
                  <c:v>5.3833333333333337</c:v>
                </c:pt>
                <c:pt idx="1">
                  <c:v>2.9363636363636365</c:v>
                </c:pt>
                <c:pt idx="2">
                  <c:v>2.9099099099099099</c:v>
                </c:pt>
                <c:pt idx="3">
                  <c:v>2.9099099099099099</c:v>
                </c:pt>
                <c:pt idx="4">
                  <c:v>2.1390728476821192</c:v>
                </c:pt>
                <c:pt idx="5">
                  <c:v>2.1390728476821192</c:v>
                </c:pt>
                <c:pt idx="6">
                  <c:v>2.1111111111111112</c:v>
                </c:pt>
                <c:pt idx="7">
                  <c:v>2.0443037974683542</c:v>
                </c:pt>
                <c:pt idx="8">
                  <c:v>2.0187499999999998</c:v>
                </c:pt>
                <c:pt idx="9">
                  <c:v>2.0187499999999998</c:v>
                </c:pt>
                <c:pt idx="10">
                  <c:v>2.0062111801242235</c:v>
                </c:pt>
                <c:pt idx="11">
                  <c:v>1.7272727272727273</c:v>
                </c:pt>
                <c:pt idx="12">
                  <c:v>1.6564102564102565</c:v>
                </c:pt>
                <c:pt idx="13">
                  <c:v>1.6479591836734695</c:v>
                </c:pt>
                <c:pt idx="14">
                  <c:v>1.6479591836734695</c:v>
                </c:pt>
                <c:pt idx="15">
                  <c:v>1.6395939086294415</c:v>
                </c:pt>
                <c:pt idx="16">
                  <c:v>1.6395939086294415</c:v>
                </c:pt>
                <c:pt idx="17">
                  <c:v>1.575609756097561</c:v>
                </c:pt>
                <c:pt idx="18">
                  <c:v>1.5454545454545454</c:v>
                </c:pt>
                <c:pt idx="19">
                  <c:v>1.5454545454545454</c:v>
                </c:pt>
                <c:pt idx="20">
                  <c:v>1.3686440677966101</c:v>
                </c:pt>
                <c:pt idx="21">
                  <c:v>1.3686440677966101</c:v>
                </c:pt>
                <c:pt idx="22">
                  <c:v>1.3628691983122363</c:v>
                </c:pt>
                <c:pt idx="23">
                  <c:v>1.3292181069958848</c:v>
                </c:pt>
                <c:pt idx="24">
                  <c:v>1.3237704918032787</c:v>
                </c:pt>
                <c:pt idx="25">
                  <c:v>1.3237704918032787</c:v>
                </c:pt>
                <c:pt idx="26">
                  <c:v>1.3130081300813008</c:v>
                </c:pt>
                <c:pt idx="27">
                  <c:v>1.2375478927203065</c:v>
                </c:pt>
                <c:pt idx="28">
                  <c:v>1.2328244274809161</c:v>
                </c:pt>
                <c:pt idx="29">
                  <c:v>1.2281368821292775</c:v>
                </c:pt>
                <c:pt idx="30">
                  <c:v>1.1660649819494584</c:v>
                </c:pt>
                <c:pt idx="31">
                  <c:v>1.1535714285714285</c:v>
                </c:pt>
                <c:pt idx="32">
                  <c:v>1.1494661921708185</c:v>
                </c:pt>
                <c:pt idx="33">
                  <c:v>1.1453900709219857</c:v>
                </c:pt>
                <c:pt idx="34">
                  <c:v>1.1413427561837455</c:v>
                </c:pt>
                <c:pt idx="35">
                  <c:v>1.1413427561837455</c:v>
                </c:pt>
                <c:pt idx="36">
                  <c:v>1.1413427561837455</c:v>
                </c:pt>
                <c:pt idx="37">
                  <c:v>1.1333333333333333</c:v>
                </c:pt>
                <c:pt idx="38">
                  <c:v>1.1333333333333333</c:v>
                </c:pt>
                <c:pt idx="39">
                  <c:v>1.1293706293706294</c:v>
                </c:pt>
                <c:pt idx="40">
                  <c:v>1.1293706293706294</c:v>
                </c:pt>
                <c:pt idx="41">
                  <c:v>1.1254355400696865</c:v>
                </c:pt>
                <c:pt idx="42">
                  <c:v>1.0838926174496644</c:v>
                </c:pt>
                <c:pt idx="43">
                  <c:v>1.0838926174496644</c:v>
                </c:pt>
                <c:pt idx="44">
                  <c:v>1.0838926174496644</c:v>
                </c:pt>
                <c:pt idx="45">
                  <c:v>1.0766666666666667</c:v>
                </c:pt>
                <c:pt idx="46">
                  <c:v>1.0590163934426229</c:v>
                </c:pt>
                <c:pt idx="47">
                  <c:v>1.0555555555555556</c:v>
                </c:pt>
                <c:pt idx="48">
                  <c:v>1.0352564102564104</c:v>
                </c:pt>
                <c:pt idx="49">
                  <c:v>1.0319488817891374</c:v>
                </c:pt>
                <c:pt idx="50">
                  <c:v>1.0319488817891374</c:v>
                </c:pt>
                <c:pt idx="51">
                  <c:v>1.0253968253968253</c:v>
                </c:pt>
                <c:pt idx="52">
                  <c:v>1.0157232704402517</c:v>
                </c:pt>
                <c:pt idx="53">
                  <c:v>1.0125391849529781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0C-4558-AECA-1D858FF238AB}"/>
            </c:ext>
          </c:extLst>
        </c:ser>
        <c:ser>
          <c:idx val="2"/>
          <c:order val="2"/>
          <c:tx>
            <c:v>H403</c:v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'H403'!$E$48:$ZZ$48</c:f>
              <c:numCache>
                <c:formatCode>0.000</c:formatCode>
                <c:ptCount val="698"/>
                <c:pt idx="0">
                  <c:v>0</c:v>
                </c:pt>
                <c:pt idx="1">
                  <c:v>2.8106708640117162E-2</c:v>
                </c:pt>
                <c:pt idx="2">
                  <c:v>2.8106708640117162E-2</c:v>
                </c:pt>
                <c:pt idx="3">
                  <c:v>0.20927215054783158</c:v>
                </c:pt>
                <c:pt idx="4">
                  <c:v>0.2094283964066026</c:v>
                </c:pt>
                <c:pt idx="5">
                  <c:v>0.2094283964066026</c:v>
                </c:pt>
                <c:pt idx="6">
                  <c:v>0.2094283964066026</c:v>
                </c:pt>
                <c:pt idx="7">
                  <c:v>0.24115420865990478</c:v>
                </c:pt>
                <c:pt idx="8">
                  <c:v>0.24402456471692827</c:v>
                </c:pt>
                <c:pt idx="9">
                  <c:v>0.24402456471692827</c:v>
                </c:pt>
                <c:pt idx="10">
                  <c:v>0.26367630603698849</c:v>
                </c:pt>
                <c:pt idx="11">
                  <c:v>0.26622481737610731</c:v>
                </c:pt>
                <c:pt idx="12">
                  <c:v>0.29996522240519202</c:v>
                </c:pt>
                <c:pt idx="13">
                  <c:v>0.29996522240519202</c:v>
                </c:pt>
                <c:pt idx="14">
                  <c:v>0.29996522240519202</c:v>
                </c:pt>
                <c:pt idx="15">
                  <c:v>0.31622276714404296</c:v>
                </c:pt>
                <c:pt idx="16">
                  <c:v>0.31718859131327198</c:v>
                </c:pt>
                <c:pt idx="17">
                  <c:v>0.31718859131327198</c:v>
                </c:pt>
                <c:pt idx="18">
                  <c:v>0.32927042016154345</c:v>
                </c:pt>
                <c:pt idx="19">
                  <c:v>0.32979940846112271</c:v>
                </c:pt>
                <c:pt idx="20">
                  <c:v>0.32979940846112271</c:v>
                </c:pt>
                <c:pt idx="21">
                  <c:v>0.34402829467170781</c:v>
                </c:pt>
                <c:pt idx="22">
                  <c:v>0.35248793338833256</c:v>
                </c:pt>
                <c:pt idx="23">
                  <c:v>0.35582173457109223</c:v>
                </c:pt>
                <c:pt idx="24">
                  <c:v>0.36660120089541087</c:v>
                </c:pt>
                <c:pt idx="25">
                  <c:v>0.39021474677297979</c:v>
                </c:pt>
                <c:pt idx="26">
                  <c:v>0.39052157604850274</c:v>
                </c:pt>
                <c:pt idx="27">
                  <c:v>0.39052157604850274</c:v>
                </c:pt>
                <c:pt idx="28">
                  <c:v>0.40098366309355543</c:v>
                </c:pt>
                <c:pt idx="29">
                  <c:v>0.42537878841507831</c:v>
                </c:pt>
                <c:pt idx="30">
                  <c:v>0.42537878841507831</c:v>
                </c:pt>
                <c:pt idx="31">
                  <c:v>0.42861102964100056</c:v>
                </c:pt>
                <c:pt idx="32">
                  <c:v>0.45629373559801206</c:v>
                </c:pt>
                <c:pt idx="33">
                  <c:v>0.45629373559801206</c:v>
                </c:pt>
                <c:pt idx="34">
                  <c:v>0.51892113601064482</c:v>
                </c:pt>
                <c:pt idx="35">
                  <c:v>0.51892113601064482</c:v>
                </c:pt>
                <c:pt idx="36">
                  <c:v>0.52645718917104334</c:v>
                </c:pt>
                <c:pt idx="37">
                  <c:v>0.54691415856883485</c:v>
                </c:pt>
                <c:pt idx="38">
                  <c:v>0.5469837622924637</c:v>
                </c:pt>
                <c:pt idx="39">
                  <c:v>0.5469837622924637</c:v>
                </c:pt>
                <c:pt idx="40">
                  <c:v>0.5469837622924637</c:v>
                </c:pt>
                <c:pt idx="41">
                  <c:v>0.5469837622924637</c:v>
                </c:pt>
                <c:pt idx="42">
                  <c:v>0.5469837622924637</c:v>
                </c:pt>
                <c:pt idx="43">
                  <c:v>0.5469837622924637</c:v>
                </c:pt>
                <c:pt idx="44">
                  <c:v>0.5469837622924637</c:v>
                </c:pt>
                <c:pt idx="45">
                  <c:v>0.5469837622924637</c:v>
                </c:pt>
                <c:pt idx="46">
                  <c:v>0.56560130828560529</c:v>
                </c:pt>
                <c:pt idx="47">
                  <c:v>0.56560130828560529</c:v>
                </c:pt>
                <c:pt idx="48">
                  <c:v>0.59726230207127817</c:v>
                </c:pt>
                <c:pt idx="49">
                  <c:v>0.59726230207127817</c:v>
                </c:pt>
                <c:pt idx="50">
                  <c:v>0.59726230207127817</c:v>
                </c:pt>
                <c:pt idx="51">
                  <c:v>0.59726230207127817</c:v>
                </c:pt>
                <c:pt idx="52">
                  <c:v>0.62490005562344597</c:v>
                </c:pt>
                <c:pt idx="53">
                  <c:v>0.62490005562344597</c:v>
                </c:pt>
                <c:pt idx="54">
                  <c:v>0.62490005562344597</c:v>
                </c:pt>
                <c:pt idx="55">
                  <c:v>0.62490005562344597</c:v>
                </c:pt>
                <c:pt idx="56">
                  <c:v>0.62490005562344597</c:v>
                </c:pt>
                <c:pt idx="57">
                  <c:v>0.62490005562344597</c:v>
                </c:pt>
                <c:pt idx="58">
                  <c:v>0.63944433370672427</c:v>
                </c:pt>
                <c:pt idx="59">
                  <c:v>0.63944433370672427</c:v>
                </c:pt>
                <c:pt idx="60">
                  <c:v>0.63944433370672427</c:v>
                </c:pt>
                <c:pt idx="61">
                  <c:v>0.63944433370672427</c:v>
                </c:pt>
                <c:pt idx="62">
                  <c:v>0.66268617708845756</c:v>
                </c:pt>
                <c:pt idx="63">
                  <c:v>0.66268617708845756</c:v>
                </c:pt>
                <c:pt idx="64">
                  <c:v>0.66268617708845756</c:v>
                </c:pt>
                <c:pt idx="65">
                  <c:v>0.67138301734812467</c:v>
                </c:pt>
                <c:pt idx="66">
                  <c:v>0.6726924373988924</c:v>
                </c:pt>
                <c:pt idx="67">
                  <c:v>0.6726924373988924</c:v>
                </c:pt>
                <c:pt idx="68">
                  <c:v>0.70413664458701286</c:v>
                </c:pt>
                <c:pt idx="69">
                  <c:v>0.70413664458701286</c:v>
                </c:pt>
                <c:pt idx="70">
                  <c:v>0.70413664458701286</c:v>
                </c:pt>
                <c:pt idx="71">
                  <c:v>0.70413664458701286</c:v>
                </c:pt>
                <c:pt idx="72">
                  <c:v>0.70413664458701286</c:v>
                </c:pt>
                <c:pt idx="73">
                  <c:v>0.70459921933362968</c:v>
                </c:pt>
                <c:pt idx="74">
                  <c:v>0.70469709956998272</c:v>
                </c:pt>
                <c:pt idx="75">
                  <c:v>0.70469709956998272</c:v>
                </c:pt>
                <c:pt idx="76">
                  <c:v>0.70469709956998272</c:v>
                </c:pt>
                <c:pt idx="77">
                  <c:v>0.70469709956998272</c:v>
                </c:pt>
                <c:pt idx="78">
                  <c:v>0.70469709956998272</c:v>
                </c:pt>
                <c:pt idx="79">
                  <c:v>0.70469709956998272</c:v>
                </c:pt>
                <c:pt idx="80">
                  <c:v>0.70469709956998272</c:v>
                </c:pt>
                <c:pt idx="81">
                  <c:v>0.70469709956998272</c:v>
                </c:pt>
                <c:pt idx="82">
                  <c:v>0.70469709956998272</c:v>
                </c:pt>
                <c:pt idx="83">
                  <c:v>0.70469709956998272</c:v>
                </c:pt>
                <c:pt idx="84">
                  <c:v>0.70469709956998272</c:v>
                </c:pt>
                <c:pt idx="85">
                  <c:v>0.70469709956998272</c:v>
                </c:pt>
                <c:pt idx="86">
                  <c:v>0.70469709956998272</c:v>
                </c:pt>
                <c:pt idx="87">
                  <c:v>0.70469709956998272</c:v>
                </c:pt>
                <c:pt idx="88">
                  <c:v>0.72572322441619763</c:v>
                </c:pt>
                <c:pt idx="89">
                  <c:v>0.74456118220083045</c:v>
                </c:pt>
                <c:pt idx="90">
                  <c:v>0.74456118220083045</c:v>
                </c:pt>
                <c:pt idx="91" formatCode="General">
                  <c:v>10</c:v>
                </c:pt>
              </c:numCache>
            </c:numRef>
          </c:xVal>
          <c:yVal>
            <c:numRef>
              <c:f>'H403'!$E$49:$ZZ$49</c:f>
              <c:numCache>
                <c:formatCode>General</c:formatCode>
                <c:ptCount val="698"/>
                <c:pt idx="0">
                  <c:v>6.7666666666666666</c:v>
                </c:pt>
                <c:pt idx="1">
                  <c:v>2.182795698924731</c:v>
                </c:pt>
                <c:pt idx="2">
                  <c:v>2.182795698924731</c:v>
                </c:pt>
                <c:pt idx="3">
                  <c:v>2.0927835051546393</c:v>
                </c:pt>
                <c:pt idx="4">
                  <c:v>2.0820512820512822</c:v>
                </c:pt>
                <c:pt idx="5">
                  <c:v>2.0820512820512822</c:v>
                </c:pt>
                <c:pt idx="6">
                  <c:v>2</c:v>
                </c:pt>
                <c:pt idx="7">
                  <c:v>1.9901960784313726</c:v>
                </c:pt>
                <c:pt idx="8">
                  <c:v>1.9804878048780488</c:v>
                </c:pt>
                <c:pt idx="9">
                  <c:v>1.9241706161137442</c:v>
                </c:pt>
                <c:pt idx="10">
                  <c:v>1.9150943396226414</c:v>
                </c:pt>
                <c:pt idx="11">
                  <c:v>1.8971962616822431</c:v>
                </c:pt>
                <c:pt idx="12">
                  <c:v>1.7964601769911503</c:v>
                </c:pt>
                <c:pt idx="13">
                  <c:v>1.7964601769911503</c:v>
                </c:pt>
                <c:pt idx="14">
                  <c:v>1.7964601769911503</c:v>
                </c:pt>
                <c:pt idx="15">
                  <c:v>1.7964601769911503</c:v>
                </c:pt>
                <c:pt idx="16">
                  <c:v>1.7964601769911503</c:v>
                </c:pt>
                <c:pt idx="17">
                  <c:v>1.7964601769911503</c:v>
                </c:pt>
                <c:pt idx="18">
                  <c:v>1.7964601769911503</c:v>
                </c:pt>
                <c:pt idx="19">
                  <c:v>1.7964601769911503</c:v>
                </c:pt>
                <c:pt idx="20">
                  <c:v>1.7964601769911503</c:v>
                </c:pt>
                <c:pt idx="21">
                  <c:v>1.742489270386266</c:v>
                </c:pt>
                <c:pt idx="22">
                  <c:v>1.5984251968503937</c:v>
                </c:pt>
                <c:pt idx="23">
                  <c:v>1.5984251968503937</c:v>
                </c:pt>
                <c:pt idx="24">
                  <c:v>1.5984251968503937</c:v>
                </c:pt>
                <c:pt idx="25">
                  <c:v>1.4710144927536233</c:v>
                </c:pt>
                <c:pt idx="26">
                  <c:v>1.4710144927536233</c:v>
                </c:pt>
                <c:pt idx="27">
                  <c:v>1.4710144927536233</c:v>
                </c:pt>
                <c:pt idx="28">
                  <c:v>1.460431654676259</c:v>
                </c:pt>
                <c:pt idx="29">
                  <c:v>1.460431654676259</c:v>
                </c:pt>
                <c:pt idx="30">
                  <c:v>1.4551971326164874</c:v>
                </c:pt>
                <c:pt idx="31">
                  <c:v>1.3311475409836067</c:v>
                </c:pt>
                <c:pt idx="32">
                  <c:v>1.326797385620915</c:v>
                </c:pt>
                <c:pt idx="33">
                  <c:v>1.326797385620915</c:v>
                </c:pt>
                <c:pt idx="34">
                  <c:v>1.2340425531914894</c:v>
                </c:pt>
                <c:pt idx="35">
                  <c:v>1.2340425531914894</c:v>
                </c:pt>
                <c:pt idx="36">
                  <c:v>1.2340425531914894</c:v>
                </c:pt>
                <c:pt idx="37">
                  <c:v>1.1534090909090908</c:v>
                </c:pt>
                <c:pt idx="38">
                  <c:v>1.1534090909090908</c:v>
                </c:pt>
                <c:pt idx="39">
                  <c:v>1.1534090909090908</c:v>
                </c:pt>
                <c:pt idx="40">
                  <c:v>1.1534090909090908</c:v>
                </c:pt>
                <c:pt idx="41">
                  <c:v>1.1501416430594902</c:v>
                </c:pt>
                <c:pt idx="42">
                  <c:v>1.1501416430594902</c:v>
                </c:pt>
                <c:pt idx="43">
                  <c:v>1.1468926553672316</c:v>
                </c:pt>
                <c:pt idx="44">
                  <c:v>1.1468926553672316</c:v>
                </c:pt>
                <c:pt idx="45">
                  <c:v>1.1468926553672316</c:v>
                </c:pt>
                <c:pt idx="46">
                  <c:v>1.1468926553672316</c:v>
                </c:pt>
                <c:pt idx="47">
                  <c:v>1.1468926553672316</c:v>
                </c:pt>
                <c:pt idx="48">
                  <c:v>1.1032608695652173</c:v>
                </c:pt>
                <c:pt idx="49">
                  <c:v>1.1032608695652173</c:v>
                </c:pt>
                <c:pt idx="50">
                  <c:v>1.1002710027100271</c:v>
                </c:pt>
                <c:pt idx="51">
                  <c:v>1.0884718498659518</c:v>
                </c:pt>
                <c:pt idx="52">
                  <c:v>1.0656167979002624</c:v>
                </c:pt>
                <c:pt idx="53">
                  <c:v>1.0656167979002624</c:v>
                </c:pt>
                <c:pt idx="54">
                  <c:v>1.0656167979002624</c:v>
                </c:pt>
                <c:pt idx="55">
                  <c:v>1.0518134715025906</c:v>
                </c:pt>
                <c:pt idx="56">
                  <c:v>1.0490956072351421</c:v>
                </c:pt>
                <c:pt idx="57">
                  <c:v>1.0490956072351421</c:v>
                </c:pt>
                <c:pt idx="58">
                  <c:v>1.0437017994858613</c:v>
                </c:pt>
                <c:pt idx="59">
                  <c:v>1.0410256410256411</c:v>
                </c:pt>
                <c:pt idx="60">
                  <c:v>1.0410256410256411</c:v>
                </c:pt>
                <c:pt idx="61">
                  <c:v>1.0410256410256411</c:v>
                </c:pt>
                <c:pt idx="62">
                  <c:v>1.0357142857142858</c:v>
                </c:pt>
                <c:pt idx="63">
                  <c:v>1.0304568527918783</c:v>
                </c:pt>
                <c:pt idx="64">
                  <c:v>1.0304568527918783</c:v>
                </c:pt>
                <c:pt idx="65">
                  <c:v>1.0278481012658227</c:v>
                </c:pt>
                <c:pt idx="66">
                  <c:v>1.0278481012658227</c:v>
                </c:pt>
                <c:pt idx="67">
                  <c:v>1.0252525252525253</c:v>
                </c:pt>
                <c:pt idx="68">
                  <c:v>1.0252525252525253</c:v>
                </c:pt>
                <c:pt idx="69">
                  <c:v>1.0226700251889169</c:v>
                </c:pt>
                <c:pt idx="70">
                  <c:v>1.0226700251889169</c:v>
                </c:pt>
                <c:pt idx="71">
                  <c:v>1.0201005025125629</c:v>
                </c:pt>
                <c:pt idx="72">
                  <c:v>1.0201005025125629</c:v>
                </c:pt>
                <c:pt idx="73">
                  <c:v>1.0201005025125629</c:v>
                </c:pt>
                <c:pt idx="74">
                  <c:v>1.0175438596491229</c:v>
                </c:pt>
                <c:pt idx="75">
                  <c:v>1.0175438596491229</c:v>
                </c:pt>
                <c:pt idx="76">
                  <c:v>1.0175438596491229</c:v>
                </c:pt>
                <c:pt idx="77">
                  <c:v>1.0175438596491229</c:v>
                </c:pt>
                <c:pt idx="78">
                  <c:v>1.0149999999999999</c:v>
                </c:pt>
                <c:pt idx="79">
                  <c:v>1.0149999999999999</c:v>
                </c:pt>
                <c:pt idx="80">
                  <c:v>1.0149999999999999</c:v>
                </c:pt>
                <c:pt idx="81">
                  <c:v>1.0149999999999999</c:v>
                </c:pt>
                <c:pt idx="82">
                  <c:v>1.0149999999999999</c:v>
                </c:pt>
                <c:pt idx="83">
                  <c:v>1.0149999999999999</c:v>
                </c:pt>
                <c:pt idx="84">
                  <c:v>1.0149999999999999</c:v>
                </c:pt>
                <c:pt idx="85">
                  <c:v>1.0149999999999999</c:v>
                </c:pt>
                <c:pt idx="86">
                  <c:v>1.0149999999999999</c:v>
                </c:pt>
                <c:pt idx="87">
                  <c:v>1.004950495049505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0C-4558-AECA-1D858FF238AB}"/>
            </c:ext>
          </c:extLst>
        </c:ser>
        <c:ser>
          <c:idx val="3"/>
          <c:order val="3"/>
          <c:tx>
            <c:v>H404</c:v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'H404'!$E$48:$ZZ$48</c:f>
              <c:numCache>
                <c:formatCode>0.000</c:formatCode>
                <c:ptCount val="698"/>
                <c:pt idx="0">
                  <c:v>0</c:v>
                </c:pt>
                <c:pt idx="1">
                  <c:v>9.5339671934070915E-3</c:v>
                </c:pt>
                <c:pt idx="2">
                  <c:v>9.5339671934070915E-3</c:v>
                </c:pt>
                <c:pt idx="3">
                  <c:v>9.5339671934070915E-3</c:v>
                </c:pt>
                <c:pt idx="4">
                  <c:v>1.0031670738629889E-2</c:v>
                </c:pt>
                <c:pt idx="5">
                  <c:v>1.0031670738629889E-2</c:v>
                </c:pt>
                <c:pt idx="6">
                  <c:v>1.0031670738629889E-2</c:v>
                </c:pt>
                <c:pt idx="7">
                  <c:v>3.9251192475924415E-2</c:v>
                </c:pt>
                <c:pt idx="8">
                  <c:v>3.9251192475924415E-2</c:v>
                </c:pt>
                <c:pt idx="9">
                  <c:v>3.9251192475924415E-2</c:v>
                </c:pt>
                <c:pt idx="10">
                  <c:v>7.9275971957506575E-2</c:v>
                </c:pt>
                <c:pt idx="11">
                  <c:v>8.6828184667418207E-2</c:v>
                </c:pt>
                <c:pt idx="12">
                  <c:v>8.6828184667418207E-2</c:v>
                </c:pt>
                <c:pt idx="13">
                  <c:v>8.6828184667418207E-2</c:v>
                </c:pt>
                <c:pt idx="14">
                  <c:v>8.6828184667418207E-2</c:v>
                </c:pt>
                <c:pt idx="15">
                  <c:v>8.6828184667418207E-2</c:v>
                </c:pt>
                <c:pt idx="16">
                  <c:v>8.6828184667418207E-2</c:v>
                </c:pt>
                <c:pt idx="17">
                  <c:v>0.12258860834548541</c:v>
                </c:pt>
                <c:pt idx="18">
                  <c:v>0.12601032021889239</c:v>
                </c:pt>
                <c:pt idx="19">
                  <c:v>0.2349877679400936</c:v>
                </c:pt>
                <c:pt idx="20">
                  <c:v>0.31755132998417801</c:v>
                </c:pt>
                <c:pt idx="21">
                  <c:v>0.34078137680582526</c:v>
                </c:pt>
                <c:pt idx="22">
                  <c:v>0.34078137680582526</c:v>
                </c:pt>
                <c:pt idx="23">
                  <c:v>0.35848545044154251</c:v>
                </c:pt>
                <c:pt idx="24">
                  <c:v>0.38394368542771512</c:v>
                </c:pt>
                <c:pt idx="25">
                  <c:v>0.39700424487061975</c:v>
                </c:pt>
                <c:pt idx="26">
                  <c:v>0.46456683575554802</c:v>
                </c:pt>
                <c:pt idx="27">
                  <c:v>0.49237053196753677</c:v>
                </c:pt>
                <c:pt idx="28">
                  <c:v>0.49237053196753677</c:v>
                </c:pt>
                <c:pt idx="29">
                  <c:v>0.49237053196753677</c:v>
                </c:pt>
                <c:pt idx="30">
                  <c:v>0.49237053196753677</c:v>
                </c:pt>
                <c:pt idx="31">
                  <c:v>0.49237053196753677</c:v>
                </c:pt>
                <c:pt idx="32">
                  <c:v>0.52276172104247376</c:v>
                </c:pt>
                <c:pt idx="33">
                  <c:v>0.52276172104247376</c:v>
                </c:pt>
                <c:pt idx="34">
                  <c:v>0.52276172104247376</c:v>
                </c:pt>
                <c:pt idx="35">
                  <c:v>0.52306613196752649</c:v>
                </c:pt>
                <c:pt idx="36">
                  <c:v>0.54726929568073568</c:v>
                </c:pt>
                <c:pt idx="37">
                  <c:v>0.55548672720948178</c:v>
                </c:pt>
                <c:pt idx="38">
                  <c:v>0.55631845104842359</c:v>
                </c:pt>
                <c:pt idx="39">
                  <c:v>0.58678699044038218</c:v>
                </c:pt>
                <c:pt idx="40">
                  <c:v>0.61101427414492071</c:v>
                </c:pt>
                <c:pt idx="41">
                  <c:v>0.61101427414492071</c:v>
                </c:pt>
                <c:pt idx="42">
                  <c:v>0.61101427414492071</c:v>
                </c:pt>
                <c:pt idx="43">
                  <c:v>0.61101427414492071</c:v>
                </c:pt>
                <c:pt idx="44">
                  <c:v>0.61101427414492071</c:v>
                </c:pt>
                <c:pt idx="45">
                  <c:v>0.61838675457397008</c:v>
                </c:pt>
                <c:pt idx="46">
                  <c:v>0.67113859497066608</c:v>
                </c:pt>
                <c:pt idx="47">
                  <c:v>0.67257867131625204</c:v>
                </c:pt>
                <c:pt idx="48">
                  <c:v>0.67802738805656071</c:v>
                </c:pt>
                <c:pt idx="49">
                  <c:v>0.70242466202805209</c:v>
                </c:pt>
                <c:pt idx="50">
                  <c:v>0.75058319570171195</c:v>
                </c:pt>
                <c:pt idx="51">
                  <c:v>0.80826093743934657</c:v>
                </c:pt>
                <c:pt idx="52">
                  <c:v>0.80826093743934657</c:v>
                </c:pt>
                <c:pt idx="53">
                  <c:v>0.83497353675090491</c:v>
                </c:pt>
                <c:pt idx="54">
                  <c:v>0.83497353675090491</c:v>
                </c:pt>
                <c:pt idx="55">
                  <c:v>0.83497353675090491</c:v>
                </c:pt>
                <c:pt idx="56">
                  <c:v>0.9067649602742095</c:v>
                </c:pt>
                <c:pt idx="57">
                  <c:v>0.9067649602742095</c:v>
                </c:pt>
                <c:pt idx="58">
                  <c:v>0.9067649602742095</c:v>
                </c:pt>
                <c:pt idx="59">
                  <c:v>0.9067649602742095</c:v>
                </c:pt>
                <c:pt idx="60">
                  <c:v>0.9067649602742095</c:v>
                </c:pt>
                <c:pt idx="61">
                  <c:v>0.9067649602742095</c:v>
                </c:pt>
                <c:pt idx="62">
                  <c:v>0.9067649602742095</c:v>
                </c:pt>
                <c:pt idx="63">
                  <c:v>0.9067649602742095</c:v>
                </c:pt>
                <c:pt idx="64">
                  <c:v>0.93305082707601261</c:v>
                </c:pt>
                <c:pt idx="65">
                  <c:v>0.95632817133412462</c:v>
                </c:pt>
                <c:pt idx="66">
                  <c:v>0.95632817133412462</c:v>
                </c:pt>
                <c:pt idx="67">
                  <c:v>0.95632817133412462</c:v>
                </c:pt>
                <c:pt idx="68">
                  <c:v>0.95789817353044537</c:v>
                </c:pt>
                <c:pt idx="69">
                  <c:v>0.98323332542446862</c:v>
                </c:pt>
                <c:pt idx="70">
                  <c:v>0.99241254787902855</c:v>
                </c:pt>
                <c:pt idx="71">
                  <c:v>1.0313125031892958</c:v>
                </c:pt>
                <c:pt idx="72">
                  <c:v>1.0313125031892958</c:v>
                </c:pt>
                <c:pt idx="73">
                  <c:v>1.0470455901145288</c:v>
                </c:pt>
                <c:pt idx="74">
                  <c:v>1.0470455901145288</c:v>
                </c:pt>
                <c:pt idx="75">
                  <c:v>1.1033027054842341</c:v>
                </c:pt>
                <c:pt idx="76">
                  <c:v>1.1033027054842341</c:v>
                </c:pt>
                <c:pt idx="77" formatCode="General">
                  <c:v>10</c:v>
                </c:pt>
              </c:numCache>
            </c:numRef>
          </c:xVal>
          <c:yVal>
            <c:numRef>
              <c:f>'H404'!$E$49:$ZZ$49</c:f>
              <c:numCache>
                <c:formatCode>General</c:formatCode>
                <c:ptCount val="698"/>
                <c:pt idx="0">
                  <c:v>5.9814815213333334</c:v>
                </c:pt>
                <c:pt idx="1">
                  <c:v>3.1359223390555191</c:v>
                </c:pt>
                <c:pt idx="2">
                  <c:v>3.0761904847325168</c:v>
                </c:pt>
                <c:pt idx="3">
                  <c:v>3.0761904847325168</c:v>
                </c:pt>
                <c:pt idx="4">
                  <c:v>2.0974026004810256</c:v>
                </c:pt>
                <c:pt idx="5">
                  <c:v>2.0974026004810256</c:v>
                </c:pt>
                <c:pt idx="6">
                  <c:v>2.0974026004810256</c:v>
                </c:pt>
                <c:pt idx="7">
                  <c:v>1.8044692756845293</c:v>
                </c:pt>
                <c:pt idx="8">
                  <c:v>1.8044692756845293</c:v>
                </c:pt>
                <c:pt idx="9">
                  <c:v>1.8044692756845293</c:v>
                </c:pt>
                <c:pt idx="10">
                  <c:v>1.5990099022711499</c:v>
                </c:pt>
                <c:pt idx="11">
                  <c:v>1.5833333345686276</c:v>
                </c:pt>
                <c:pt idx="12">
                  <c:v>1.5833333345686276</c:v>
                </c:pt>
                <c:pt idx="13">
                  <c:v>1.5679611662396078</c:v>
                </c:pt>
                <c:pt idx="14">
                  <c:v>1.5679611662396078</c:v>
                </c:pt>
                <c:pt idx="15">
                  <c:v>1.5679611662396078</c:v>
                </c:pt>
                <c:pt idx="16">
                  <c:v>1.5679611662396078</c:v>
                </c:pt>
                <c:pt idx="17">
                  <c:v>1.5679611662396078</c:v>
                </c:pt>
                <c:pt idx="18">
                  <c:v>1.5679611662396078</c:v>
                </c:pt>
                <c:pt idx="19">
                  <c:v>1.5679611662396078</c:v>
                </c:pt>
                <c:pt idx="20">
                  <c:v>1.5679611662396078</c:v>
                </c:pt>
                <c:pt idx="21">
                  <c:v>1.5679611662396078</c:v>
                </c:pt>
                <c:pt idx="22">
                  <c:v>1.5679611662396078</c:v>
                </c:pt>
                <c:pt idx="23">
                  <c:v>1.5164319259300403</c:v>
                </c:pt>
                <c:pt idx="24">
                  <c:v>1.5164319259300403</c:v>
                </c:pt>
                <c:pt idx="25">
                  <c:v>1.5164319259300403</c:v>
                </c:pt>
                <c:pt idx="26">
                  <c:v>1.4104803501193341</c:v>
                </c:pt>
                <c:pt idx="27">
                  <c:v>1.4104803501193341</c:v>
                </c:pt>
                <c:pt idx="28">
                  <c:v>1.4104803501193341</c:v>
                </c:pt>
                <c:pt idx="29">
                  <c:v>1.4104803501193341</c:v>
                </c:pt>
                <c:pt idx="30">
                  <c:v>1.4104803501193341</c:v>
                </c:pt>
                <c:pt idx="31">
                  <c:v>1.4104803501193341</c:v>
                </c:pt>
                <c:pt idx="32">
                  <c:v>1.4104803501193341</c:v>
                </c:pt>
                <c:pt idx="33">
                  <c:v>1.4104803501193341</c:v>
                </c:pt>
                <c:pt idx="34">
                  <c:v>1.4043478268464273</c:v>
                </c:pt>
                <c:pt idx="35">
                  <c:v>1.3628691989736688</c:v>
                </c:pt>
                <c:pt idx="36">
                  <c:v>1.3458333339558335</c:v>
                </c:pt>
                <c:pt idx="37">
                  <c:v>1.276679842369667</c:v>
                </c:pt>
                <c:pt idx="38">
                  <c:v>1.2716535437691117</c:v>
                </c:pt>
                <c:pt idx="39">
                  <c:v>1.2716535437691117</c:v>
                </c:pt>
                <c:pt idx="40">
                  <c:v>1.228136882504012</c:v>
                </c:pt>
                <c:pt idx="41">
                  <c:v>1.2234848488505512</c:v>
                </c:pt>
                <c:pt idx="42">
                  <c:v>1.2234848488505512</c:v>
                </c:pt>
                <c:pt idx="43">
                  <c:v>1.218867924885098</c:v>
                </c:pt>
                <c:pt idx="44">
                  <c:v>1.218867924885098</c:v>
                </c:pt>
                <c:pt idx="45">
                  <c:v>1.2097378280547071</c:v>
                </c:pt>
                <c:pt idx="46">
                  <c:v>1.1618705038486623</c:v>
                </c:pt>
                <c:pt idx="47">
                  <c:v>1.1577060934341543</c:v>
                </c:pt>
                <c:pt idx="48">
                  <c:v>1.1577060934341543</c:v>
                </c:pt>
                <c:pt idx="49">
                  <c:v>1.1254355402584955</c:v>
                </c:pt>
                <c:pt idx="50">
                  <c:v>1.1061643837187092</c:v>
                </c:pt>
                <c:pt idx="51">
                  <c:v>1.1061643837187092</c:v>
                </c:pt>
                <c:pt idx="52">
                  <c:v>1.1061643837187092</c:v>
                </c:pt>
                <c:pt idx="53">
                  <c:v>1.1061643837187092</c:v>
                </c:pt>
                <c:pt idx="54">
                  <c:v>1.1061643837187092</c:v>
                </c:pt>
                <c:pt idx="55">
                  <c:v>1.1061643837187092</c:v>
                </c:pt>
                <c:pt idx="56">
                  <c:v>1.1061643837187092</c:v>
                </c:pt>
                <c:pt idx="57">
                  <c:v>1.1061643837187092</c:v>
                </c:pt>
                <c:pt idx="58">
                  <c:v>1.1061643837187092</c:v>
                </c:pt>
                <c:pt idx="59">
                  <c:v>1.1061643837187092</c:v>
                </c:pt>
                <c:pt idx="60">
                  <c:v>1.1061643837187092</c:v>
                </c:pt>
                <c:pt idx="61">
                  <c:v>1.1061643837187092</c:v>
                </c:pt>
                <c:pt idx="62">
                  <c:v>1.1061643837187092</c:v>
                </c:pt>
                <c:pt idx="63">
                  <c:v>1.1061643837187092</c:v>
                </c:pt>
                <c:pt idx="64">
                  <c:v>1.0660066007541744</c:v>
                </c:pt>
                <c:pt idx="65">
                  <c:v>1.0625000000888158</c:v>
                </c:pt>
                <c:pt idx="66">
                  <c:v>1.0625000000888158</c:v>
                </c:pt>
                <c:pt idx="67">
                  <c:v>1.0453074434290381</c:v>
                </c:pt>
                <c:pt idx="68">
                  <c:v>1.031948881833233</c:v>
                </c:pt>
                <c:pt idx="69">
                  <c:v>1.0286624204215993</c:v>
                </c:pt>
                <c:pt idx="70">
                  <c:v>1.012539184969959</c:v>
                </c:pt>
                <c:pt idx="71">
                  <c:v>1.012539184969959</c:v>
                </c:pt>
                <c:pt idx="72">
                  <c:v>1.0031055900662784</c:v>
                </c:pt>
                <c:pt idx="73">
                  <c:v>1.0031055900662784</c:v>
                </c:pt>
                <c:pt idx="74">
                  <c:v>1.0031055900662784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0C-4558-AECA-1D858FF238AB}"/>
            </c:ext>
          </c:extLst>
        </c:ser>
        <c:ser>
          <c:idx val="0"/>
          <c:order val="4"/>
          <c:tx>
            <c:v>H602</c:v>
          </c:tx>
          <c:spPr>
            <a:ln w="15875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'H602'!$E$48:$ZZ$48</c:f>
              <c:numCache>
                <c:formatCode>0.000</c:formatCode>
                <c:ptCount val="698"/>
                <c:pt idx="0">
                  <c:v>0</c:v>
                </c:pt>
                <c:pt idx="1">
                  <c:v>6.7554575131862924E-3</c:v>
                </c:pt>
                <c:pt idx="2">
                  <c:v>9.0015178970307749E-3</c:v>
                </c:pt>
                <c:pt idx="3">
                  <c:v>1.359490818668707E-2</c:v>
                </c:pt>
                <c:pt idx="4">
                  <c:v>1.359490818668707E-2</c:v>
                </c:pt>
                <c:pt idx="5">
                  <c:v>1.359490818668707E-2</c:v>
                </c:pt>
                <c:pt idx="6">
                  <c:v>1.6491107976281564E-2</c:v>
                </c:pt>
                <c:pt idx="7">
                  <c:v>1.6491107976281564E-2</c:v>
                </c:pt>
                <c:pt idx="8">
                  <c:v>1.6491107976281564E-2</c:v>
                </c:pt>
                <c:pt idx="9">
                  <c:v>2.6827568416388614E-2</c:v>
                </c:pt>
                <c:pt idx="10">
                  <c:v>2.6827568416388614E-2</c:v>
                </c:pt>
                <c:pt idx="11">
                  <c:v>2.6827568416388614E-2</c:v>
                </c:pt>
                <c:pt idx="12">
                  <c:v>8.9485439949958237E-2</c:v>
                </c:pt>
                <c:pt idx="13">
                  <c:v>9.3325117806505362E-2</c:v>
                </c:pt>
                <c:pt idx="14">
                  <c:v>9.3325117806505362E-2</c:v>
                </c:pt>
                <c:pt idx="15">
                  <c:v>0.17412404868640524</c:v>
                </c:pt>
                <c:pt idx="16">
                  <c:v>0.17867404581943278</c:v>
                </c:pt>
                <c:pt idx="17">
                  <c:v>0.17867404581943278</c:v>
                </c:pt>
                <c:pt idx="18">
                  <c:v>0.28572684690109157</c:v>
                </c:pt>
                <c:pt idx="19">
                  <c:v>0.28777352079319179</c:v>
                </c:pt>
                <c:pt idx="20">
                  <c:v>0.28918488851594365</c:v>
                </c:pt>
                <c:pt idx="21">
                  <c:v>0.33777148750299713</c:v>
                </c:pt>
                <c:pt idx="22">
                  <c:v>0.33810959032606119</c:v>
                </c:pt>
                <c:pt idx="23">
                  <c:v>0.33810959032606119</c:v>
                </c:pt>
                <c:pt idx="24">
                  <c:v>0.39673507552145804</c:v>
                </c:pt>
                <c:pt idx="25">
                  <c:v>0.39673507552145804</c:v>
                </c:pt>
                <c:pt idx="26">
                  <c:v>0.39673507552145804</c:v>
                </c:pt>
                <c:pt idx="27">
                  <c:v>0.44993790158235475</c:v>
                </c:pt>
                <c:pt idx="28">
                  <c:v>0.45362866219132142</c:v>
                </c:pt>
                <c:pt idx="29">
                  <c:v>0.45362866219132142</c:v>
                </c:pt>
                <c:pt idx="30">
                  <c:v>0.51541276547329984</c:v>
                </c:pt>
                <c:pt idx="31">
                  <c:v>0.51821685755461044</c:v>
                </c:pt>
                <c:pt idx="32">
                  <c:v>0.52152379778519298</c:v>
                </c:pt>
                <c:pt idx="33">
                  <c:v>0.59621211885618797</c:v>
                </c:pt>
                <c:pt idx="34">
                  <c:v>0.60037214426577534</c:v>
                </c:pt>
                <c:pt idx="35">
                  <c:v>0.60106273702973156</c:v>
                </c:pt>
                <c:pt idx="36">
                  <c:v>0.64524749886225585</c:v>
                </c:pt>
                <c:pt idx="37">
                  <c:v>0.65177793727244993</c:v>
                </c:pt>
                <c:pt idx="38">
                  <c:v>0.65408137704793534</c:v>
                </c:pt>
                <c:pt idx="39">
                  <c:v>0.70165761908373625</c:v>
                </c:pt>
                <c:pt idx="40">
                  <c:v>0.70165761908373625</c:v>
                </c:pt>
                <c:pt idx="41">
                  <c:v>0.70649835596177024</c:v>
                </c:pt>
                <c:pt idx="42">
                  <c:v>0.70649835596177024</c:v>
                </c:pt>
                <c:pt idx="43">
                  <c:v>0.70759737560679448</c:v>
                </c:pt>
                <c:pt idx="44">
                  <c:v>0.70759737560679448</c:v>
                </c:pt>
                <c:pt idx="45">
                  <c:v>0.71168493818264389</c:v>
                </c:pt>
                <c:pt idx="46">
                  <c:v>0.71215484868021683</c:v>
                </c:pt>
                <c:pt idx="47">
                  <c:v>0.71338891269720706</c:v>
                </c:pt>
                <c:pt idx="48">
                  <c:v>0.72198527381674737</c:v>
                </c:pt>
                <c:pt idx="49">
                  <c:v>0.72293278026395613</c:v>
                </c:pt>
                <c:pt idx="50">
                  <c:v>0.72293278026395613</c:v>
                </c:pt>
                <c:pt idx="51">
                  <c:v>0.73665789972694151</c:v>
                </c:pt>
                <c:pt idx="52">
                  <c:v>0.74282456007281239</c:v>
                </c:pt>
                <c:pt idx="53">
                  <c:v>0.75637294318607229</c:v>
                </c:pt>
                <c:pt idx="54">
                  <c:v>0.77156193841257914</c:v>
                </c:pt>
                <c:pt idx="55">
                  <c:v>0.88413744384125759</c:v>
                </c:pt>
                <c:pt idx="56">
                  <c:v>0.97336652470984608</c:v>
                </c:pt>
                <c:pt idx="57" formatCode="General">
                  <c:v>10</c:v>
                </c:pt>
              </c:numCache>
            </c:numRef>
          </c:xVal>
          <c:yVal>
            <c:numRef>
              <c:f>'H602'!$E$49:$ZZ$49</c:f>
              <c:numCache>
                <c:formatCode>General</c:formatCode>
                <c:ptCount val="698"/>
                <c:pt idx="0">
                  <c:v>6.1</c:v>
                </c:pt>
                <c:pt idx="1">
                  <c:v>6.1</c:v>
                </c:pt>
                <c:pt idx="2">
                  <c:v>6.1</c:v>
                </c:pt>
                <c:pt idx="3">
                  <c:v>3.3577981651376145</c:v>
                </c:pt>
                <c:pt idx="4">
                  <c:v>3.3577981651376145</c:v>
                </c:pt>
                <c:pt idx="5">
                  <c:v>3.3577981651376145</c:v>
                </c:pt>
                <c:pt idx="6">
                  <c:v>2.2875000000000001</c:v>
                </c:pt>
                <c:pt idx="7">
                  <c:v>2.2875000000000001</c:v>
                </c:pt>
                <c:pt idx="8">
                  <c:v>2.2875000000000001</c:v>
                </c:pt>
                <c:pt idx="9">
                  <c:v>2.2875000000000001</c:v>
                </c:pt>
                <c:pt idx="10">
                  <c:v>2.2875000000000001</c:v>
                </c:pt>
                <c:pt idx="11">
                  <c:v>2.2875000000000001</c:v>
                </c:pt>
                <c:pt idx="12">
                  <c:v>1.8963730569948187</c:v>
                </c:pt>
                <c:pt idx="13">
                  <c:v>1.8865979381443299</c:v>
                </c:pt>
                <c:pt idx="14">
                  <c:v>1.8865979381443299</c:v>
                </c:pt>
                <c:pt idx="15">
                  <c:v>1.8865979381443299</c:v>
                </c:pt>
                <c:pt idx="16">
                  <c:v>1.8865979381443299</c:v>
                </c:pt>
                <c:pt idx="17">
                  <c:v>1.8865979381443299</c:v>
                </c:pt>
                <c:pt idx="18">
                  <c:v>1.7264150943396226</c:v>
                </c:pt>
                <c:pt idx="19">
                  <c:v>1.7264150943396226</c:v>
                </c:pt>
                <c:pt idx="20">
                  <c:v>1.7264150943396226</c:v>
                </c:pt>
                <c:pt idx="21">
                  <c:v>1.5641025641025641</c:v>
                </c:pt>
                <c:pt idx="22">
                  <c:v>1.5641025641025641</c:v>
                </c:pt>
                <c:pt idx="23">
                  <c:v>1.5641025641025641</c:v>
                </c:pt>
                <c:pt idx="24">
                  <c:v>1.4076923076923078</c:v>
                </c:pt>
                <c:pt idx="25">
                  <c:v>1.4076923076923078</c:v>
                </c:pt>
                <c:pt idx="26">
                  <c:v>1.4076923076923078</c:v>
                </c:pt>
                <c:pt idx="27">
                  <c:v>1.2842105263157895</c:v>
                </c:pt>
                <c:pt idx="28">
                  <c:v>1.2842105263157895</c:v>
                </c:pt>
                <c:pt idx="29">
                  <c:v>1.2842105263157895</c:v>
                </c:pt>
                <c:pt idx="30">
                  <c:v>1.1921824104234529</c:v>
                </c:pt>
                <c:pt idx="31">
                  <c:v>1.1921824104234529</c:v>
                </c:pt>
                <c:pt idx="32">
                  <c:v>1.1921824104234529</c:v>
                </c:pt>
                <c:pt idx="33">
                  <c:v>1.0925373134328358</c:v>
                </c:pt>
                <c:pt idx="34">
                  <c:v>1.0925373134328358</c:v>
                </c:pt>
                <c:pt idx="35">
                  <c:v>1.0925373134328358</c:v>
                </c:pt>
                <c:pt idx="36">
                  <c:v>1.0457142857142858</c:v>
                </c:pt>
                <c:pt idx="37">
                  <c:v>1.0457142857142858</c:v>
                </c:pt>
                <c:pt idx="38">
                  <c:v>1.0457142857142858</c:v>
                </c:pt>
                <c:pt idx="39">
                  <c:v>1.0252100840336134</c:v>
                </c:pt>
                <c:pt idx="40">
                  <c:v>1.0252100840336134</c:v>
                </c:pt>
                <c:pt idx="41">
                  <c:v>1.0252100840336134</c:v>
                </c:pt>
                <c:pt idx="42">
                  <c:v>1.0252100840336134</c:v>
                </c:pt>
                <c:pt idx="43">
                  <c:v>1.0223463687150838</c:v>
                </c:pt>
                <c:pt idx="44">
                  <c:v>1.0223463687150838</c:v>
                </c:pt>
                <c:pt idx="45">
                  <c:v>1.0223463687150838</c:v>
                </c:pt>
                <c:pt idx="46">
                  <c:v>1.0223463687150838</c:v>
                </c:pt>
                <c:pt idx="47">
                  <c:v>1.0223463687150838</c:v>
                </c:pt>
                <c:pt idx="48">
                  <c:v>1.0166666666666666</c:v>
                </c:pt>
                <c:pt idx="49">
                  <c:v>1.0166666666666666</c:v>
                </c:pt>
                <c:pt idx="50">
                  <c:v>1.0166666666666666</c:v>
                </c:pt>
                <c:pt idx="51">
                  <c:v>1.0054945054945055</c:v>
                </c:pt>
                <c:pt idx="52">
                  <c:v>1.0027397260273974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0C-4558-AECA-1D858FF2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582831"/>
        <c:axId val="1589584079"/>
      </c:scatterChart>
      <c:valAx>
        <c:axId val="1589582831"/>
        <c:scaling>
          <c:orientation val="minMax"/>
          <c:max val="1.2"/>
        </c:scaling>
        <c:delete val="0"/>
        <c:axPos val="b"/>
        <c:majorGridlines>
          <c:spPr>
            <a:ln w="9525" cap="flat" cmpd="sng" algn="ctr">
              <a:solidFill>
                <a:srgbClr val="EBEBEB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nl-NL" baseline="0"/>
                  <a:t>Max. weighted crack width (</a:t>
                </a:r>
                <a:r>
                  <a:rPr lang="nl-NL" i="1" baseline="0"/>
                  <a:t>w</a:t>
                </a:r>
                <a:r>
                  <a:rPr lang="nl-NL" i="0" baseline="-25000"/>
                  <a:t>max,w</a:t>
                </a:r>
                <a:r>
                  <a:rPr lang="nl-NL" baseline="0"/>
                  <a:t>) [</a:t>
                </a:r>
                <a:r>
                  <a:rPr lang="nl-NL" baseline="0">
                    <a:latin typeface="Arial" panose="020B0604020202020204" pitchFamily="34" charset="0"/>
                    <a:cs typeface="Arial" panose="020B0604020202020204" pitchFamily="34" charset="0"/>
                  </a:rPr>
                  <a:t>mm]</a:t>
                </a:r>
                <a:endParaRPr lang="nl-NL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nl-NL"/>
            </a:p>
          </c:txPr>
        </c:title>
        <c:numFmt formatCode="0.000" sourceLinked="1"/>
        <c:majorTickMark val="cross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  <a:tailEnd type="arrow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89584079"/>
        <c:crosses val="autoZero"/>
        <c:crossBetween val="midCat"/>
        <c:majorUnit val="0.2"/>
      </c:valAx>
      <c:valAx>
        <c:axId val="1589584079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rgbClr val="EBEBE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nl-NL" sz="900" b="0" i="0" u="none" strike="noStrike" baseline="0">
                    <a:effectLst/>
                  </a:rPr>
                  <a:t>Ratio (</a:t>
                </a:r>
                <a:r>
                  <a:rPr lang="nl-NL" sz="900" b="0" i="1" u="none" strike="noStrike" baseline="0">
                    <a:effectLst/>
                  </a:rPr>
                  <a:t>V</a:t>
                </a:r>
                <a:r>
                  <a:rPr lang="nl-NL" sz="900" b="0" i="0" u="none" strike="noStrike" baseline="-25000">
                    <a:effectLst/>
                  </a:rPr>
                  <a:t>u</a:t>
                </a:r>
                <a:r>
                  <a:rPr lang="nl-NL" sz="900" b="0" i="0" u="none" strike="noStrike" baseline="0">
                    <a:effectLst/>
                  </a:rPr>
                  <a:t> /</a:t>
                </a:r>
                <a:r>
                  <a:rPr lang="nl-NL" sz="900" b="0" i="1" u="none" strike="noStrike" baseline="0">
                    <a:effectLst/>
                  </a:rPr>
                  <a:t>V</a:t>
                </a:r>
                <a:r>
                  <a:rPr lang="nl-NL" baseline="0"/>
                  <a:t>) [-]</a:t>
                </a:r>
                <a:endParaRPr lang="nl-NL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  <a:tailEnd type="arrow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8958283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8856077554064121"/>
          <c:y val="4.8846153846153845E-2"/>
          <c:w val="0.24393810589112602"/>
          <c:h val="0.3799145299145299"/>
        </c:manualLayout>
      </c:layout>
      <c:overlay val="1"/>
      <c:spPr>
        <a:solidFill>
          <a:srgbClr val="FFFFFF"/>
        </a:solidFill>
        <a:ln>
          <a:solidFill>
            <a:srgbClr val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solidFill>
            <a:srgbClr val="000000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52535421327367"/>
          <c:y val="3.7991452991452991E-2"/>
          <c:w val="0.82021290082028342"/>
          <c:h val="0.79720683760683775"/>
        </c:manualLayout>
      </c:layout>
      <c:scatterChart>
        <c:scatterStyle val="lineMarker"/>
        <c:varyColors val="0"/>
        <c:ser>
          <c:idx val="4"/>
          <c:order val="0"/>
          <c:tx>
            <c:v>H121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'H121'!$E$47:$ZZ$47</c:f>
              <c:numCache>
                <c:formatCode>General</c:formatCode>
                <c:ptCount val="698"/>
                <c:pt idx="0">
                  <c:v>0</c:v>
                </c:pt>
                <c:pt idx="1">
                  <c:v>4.5587999999999997E-2</c:v>
                </c:pt>
                <c:pt idx="2">
                  <c:v>4.5587999999999997E-2</c:v>
                </c:pt>
                <c:pt idx="3">
                  <c:v>0.10870025</c:v>
                </c:pt>
                <c:pt idx="4">
                  <c:v>0.10870025</c:v>
                </c:pt>
                <c:pt idx="5">
                  <c:v>0.10870025</c:v>
                </c:pt>
                <c:pt idx="6">
                  <c:v>0.10870025</c:v>
                </c:pt>
                <c:pt idx="7">
                  <c:v>0.10870025</c:v>
                </c:pt>
                <c:pt idx="8">
                  <c:v>0.10870025</c:v>
                </c:pt>
                <c:pt idx="9">
                  <c:v>0.10870025</c:v>
                </c:pt>
                <c:pt idx="10">
                  <c:v>0.12681624999999999</c:v>
                </c:pt>
                <c:pt idx="11">
                  <c:v>0.12681624999999999</c:v>
                </c:pt>
                <c:pt idx="12">
                  <c:v>0.12681624999999999</c:v>
                </c:pt>
                <c:pt idx="13">
                  <c:v>0.12681624999999999</c:v>
                </c:pt>
                <c:pt idx="14">
                  <c:v>0.12681624999999999</c:v>
                </c:pt>
                <c:pt idx="15">
                  <c:v>0.12681624999999999</c:v>
                </c:pt>
                <c:pt idx="16">
                  <c:v>0.12681624999999999</c:v>
                </c:pt>
                <c:pt idx="17">
                  <c:v>0.14762025000000001</c:v>
                </c:pt>
                <c:pt idx="18">
                  <c:v>0.14762025000000001</c:v>
                </c:pt>
                <c:pt idx="19">
                  <c:v>0.14762025000000001</c:v>
                </c:pt>
                <c:pt idx="20">
                  <c:v>0.14762025000000001</c:v>
                </c:pt>
                <c:pt idx="21">
                  <c:v>0.14762025000000001</c:v>
                </c:pt>
                <c:pt idx="22">
                  <c:v>0.14762025000000001</c:v>
                </c:pt>
                <c:pt idx="23">
                  <c:v>0.14762025000000001</c:v>
                </c:pt>
                <c:pt idx="24">
                  <c:v>0.16493374999999999</c:v>
                </c:pt>
                <c:pt idx="25">
                  <c:v>0.23403674999999999</c:v>
                </c:pt>
                <c:pt idx="26">
                  <c:v>0.23403674999999999</c:v>
                </c:pt>
                <c:pt idx="27">
                  <c:v>0.41857149999999999</c:v>
                </c:pt>
                <c:pt idx="28">
                  <c:v>0.47238225</c:v>
                </c:pt>
                <c:pt idx="29">
                  <c:v>0.49106250000000001</c:v>
                </c:pt>
                <c:pt idx="30">
                  <c:v>0.49106250000000001</c:v>
                </c:pt>
                <c:pt idx="31">
                  <c:v>0.49106250000000001</c:v>
                </c:pt>
                <c:pt idx="32">
                  <c:v>0.52452750000000004</c:v>
                </c:pt>
                <c:pt idx="33">
                  <c:v>0.53215749999999995</c:v>
                </c:pt>
                <c:pt idx="34">
                  <c:v>0.57735749999999997</c:v>
                </c:pt>
                <c:pt idx="35">
                  <c:v>0.66470499999999999</c:v>
                </c:pt>
                <c:pt idx="36">
                  <c:v>0.66470499999999999</c:v>
                </c:pt>
                <c:pt idx="37">
                  <c:v>0.66470499999999999</c:v>
                </c:pt>
                <c:pt idx="38">
                  <c:v>0.70345749999999996</c:v>
                </c:pt>
                <c:pt idx="39">
                  <c:v>0.70345749999999996</c:v>
                </c:pt>
                <c:pt idx="40">
                  <c:v>0.70345749999999996</c:v>
                </c:pt>
                <c:pt idx="41">
                  <c:v>0.70345749999999996</c:v>
                </c:pt>
                <c:pt idx="42">
                  <c:v>0.70907500000000001</c:v>
                </c:pt>
                <c:pt idx="43">
                  <c:v>0.71024750000000003</c:v>
                </c:pt>
                <c:pt idx="44">
                  <c:v>0.715292500000001</c:v>
                </c:pt>
                <c:pt idx="45">
                  <c:v>0.7895375</c:v>
                </c:pt>
                <c:pt idx="46">
                  <c:v>0.7895375</c:v>
                </c:pt>
                <c:pt idx="47">
                  <c:v>0.7895375</c:v>
                </c:pt>
                <c:pt idx="48">
                  <c:v>0.7895375</c:v>
                </c:pt>
                <c:pt idx="49">
                  <c:v>0.7895375</c:v>
                </c:pt>
                <c:pt idx="50">
                  <c:v>0.7895375</c:v>
                </c:pt>
                <c:pt idx="51">
                  <c:v>0.7895375</c:v>
                </c:pt>
                <c:pt idx="52">
                  <c:v>0.7895375</c:v>
                </c:pt>
                <c:pt idx="53">
                  <c:v>0.7895375</c:v>
                </c:pt>
                <c:pt idx="54">
                  <c:v>0.7895375</c:v>
                </c:pt>
                <c:pt idx="55">
                  <c:v>0.7895375</c:v>
                </c:pt>
                <c:pt idx="56">
                  <c:v>0.7895375</c:v>
                </c:pt>
                <c:pt idx="57">
                  <c:v>0.79567500000000002</c:v>
                </c:pt>
                <c:pt idx="58">
                  <c:v>10</c:v>
                </c:pt>
              </c:numCache>
            </c:numRef>
          </c:xVal>
          <c:yVal>
            <c:numRef>
              <c:f>'H121'!$E$49:$ZZ$49</c:f>
              <c:numCache>
                <c:formatCode>General</c:formatCode>
                <c:ptCount val="698"/>
                <c:pt idx="0">
                  <c:v>8.5777781566666658</c:v>
                </c:pt>
                <c:pt idx="1">
                  <c:v>4.1063830530783143</c:v>
                </c:pt>
                <c:pt idx="2">
                  <c:v>4.1063830530783143</c:v>
                </c:pt>
                <c:pt idx="3">
                  <c:v>4.1063830530783143</c:v>
                </c:pt>
                <c:pt idx="4">
                  <c:v>4.1063830530783143</c:v>
                </c:pt>
                <c:pt idx="5">
                  <c:v>4.0208334041341125</c:v>
                </c:pt>
                <c:pt idx="6">
                  <c:v>3.9793815124083309</c:v>
                </c:pt>
                <c:pt idx="7">
                  <c:v>2.6805555818142355</c:v>
                </c:pt>
                <c:pt idx="8">
                  <c:v>2.6805555818142355</c:v>
                </c:pt>
                <c:pt idx="9">
                  <c:v>2.6805555818142355</c:v>
                </c:pt>
                <c:pt idx="10">
                  <c:v>2.2840236857340424</c:v>
                </c:pt>
                <c:pt idx="11">
                  <c:v>2.2840236857340424</c:v>
                </c:pt>
                <c:pt idx="12">
                  <c:v>2.2840236857340424</c:v>
                </c:pt>
                <c:pt idx="13">
                  <c:v>1.9896907331278562</c:v>
                </c:pt>
                <c:pt idx="14">
                  <c:v>1.9896907331278562</c:v>
                </c:pt>
                <c:pt idx="15">
                  <c:v>1.9896907331278562</c:v>
                </c:pt>
                <c:pt idx="16">
                  <c:v>1.9896907331278562</c:v>
                </c:pt>
                <c:pt idx="17">
                  <c:v>1.9896907331278562</c:v>
                </c:pt>
                <c:pt idx="18">
                  <c:v>1.9896907331278562</c:v>
                </c:pt>
                <c:pt idx="19">
                  <c:v>1.9896907331278562</c:v>
                </c:pt>
                <c:pt idx="20">
                  <c:v>1.9896907331278562</c:v>
                </c:pt>
                <c:pt idx="21">
                  <c:v>1.7788018513931065</c:v>
                </c:pt>
                <c:pt idx="22">
                  <c:v>1.7788018513931065</c:v>
                </c:pt>
                <c:pt idx="23">
                  <c:v>1.7788018513931065</c:v>
                </c:pt>
                <c:pt idx="24">
                  <c:v>1.7545454622623964</c:v>
                </c:pt>
                <c:pt idx="25">
                  <c:v>1.7545454622623964</c:v>
                </c:pt>
                <c:pt idx="26">
                  <c:v>1.7545454622623964</c:v>
                </c:pt>
                <c:pt idx="27">
                  <c:v>1.7545454622623964</c:v>
                </c:pt>
                <c:pt idx="28">
                  <c:v>1.6495726558185402</c:v>
                </c:pt>
                <c:pt idx="29">
                  <c:v>1.5884773717040086</c:v>
                </c:pt>
                <c:pt idx="30">
                  <c:v>1.5884773717040086</c:v>
                </c:pt>
                <c:pt idx="31">
                  <c:v>1.5884773717040086</c:v>
                </c:pt>
                <c:pt idx="32">
                  <c:v>1.434944241556225</c:v>
                </c:pt>
                <c:pt idx="33">
                  <c:v>1.434944241556225</c:v>
                </c:pt>
                <c:pt idx="34">
                  <c:v>1.434944241556225</c:v>
                </c:pt>
                <c:pt idx="35">
                  <c:v>1.3129251724628626</c:v>
                </c:pt>
                <c:pt idx="36">
                  <c:v>1.3129251724628626</c:v>
                </c:pt>
                <c:pt idx="37">
                  <c:v>1.3129251724628626</c:v>
                </c:pt>
                <c:pt idx="38">
                  <c:v>1.2100313494437949</c:v>
                </c:pt>
                <c:pt idx="39">
                  <c:v>1.2100313494437949</c:v>
                </c:pt>
                <c:pt idx="40">
                  <c:v>1.2100313494437949</c:v>
                </c:pt>
                <c:pt idx="41">
                  <c:v>1.2100313494437949</c:v>
                </c:pt>
                <c:pt idx="42">
                  <c:v>1.1913580260202332</c:v>
                </c:pt>
                <c:pt idx="43">
                  <c:v>1.1804281357980531</c:v>
                </c:pt>
                <c:pt idx="44">
                  <c:v>1.1768292695056886</c:v>
                </c:pt>
                <c:pt idx="45">
                  <c:v>1.1661631431234656</c:v>
                </c:pt>
                <c:pt idx="46">
                  <c:v>1.1488095248060162</c:v>
                </c:pt>
                <c:pt idx="47">
                  <c:v>1.1188405804851922</c:v>
                </c:pt>
                <c:pt idx="48">
                  <c:v>1.1188405804851922</c:v>
                </c:pt>
                <c:pt idx="49">
                  <c:v>1.1188405804851922</c:v>
                </c:pt>
                <c:pt idx="50">
                  <c:v>1.1188405804851922</c:v>
                </c:pt>
                <c:pt idx="51">
                  <c:v>1.1188405804851922</c:v>
                </c:pt>
                <c:pt idx="52">
                  <c:v>1.0965909097083226</c:v>
                </c:pt>
                <c:pt idx="53">
                  <c:v>1.0722222226736111</c:v>
                </c:pt>
                <c:pt idx="54">
                  <c:v>1.0489130437773218</c:v>
                </c:pt>
                <c:pt idx="55">
                  <c:v>1.0157894737777009</c:v>
                </c:pt>
                <c:pt idx="56">
                  <c:v>1.0025974026125823</c:v>
                </c:pt>
                <c:pt idx="57">
                  <c:v>1</c:v>
                </c:pt>
                <c:pt idx="5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38-4037-B8CA-E85D1E681E5E}"/>
            </c:ext>
          </c:extLst>
        </c:ser>
        <c:ser>
          <c:idx val="1"/>
          <c:order val="1"/>
          <c:tx>
            <c:v>H401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'H401'!$E$47:$ZZ$47</c:f>
              <c:numCache>
                <c:formatCode>General</c:formatCode>
                <c:ptCount val="698"/>
                <c:pt idx="0">
                  <c:v>0</c:v>
                </c:pt>
                <c:pt idx="1">
                  <c:v>2.55173E-2</c:v>
                </c:pt>
                <c:pt idx="2">
                  <c:v>0.16031219999999999</c:v>
                </c:pt>
                <c:pt idx="3">
                  <c:v>0.16031219999999999</c:v>
                </c:pt>
                <c:pt idx="4">
                  <c:v>0.16031219999999999</c:v>
                </c:pt>
                <c:pt idx="5">
                  <c:v>0.16031219999999999</c:v>
                </c:pt>
                <c:pt idx="6">
                  <c:v>0.16031219999999999</c:v>
                </c:pt>
                <c:pt idx="7">
                  <c:v>0.16031219999999999</c:v>
                </c:pt>
                <c:pt idx="8">
                  <c:v>0.16031219999999999</c:v>
                </c:pt>
                <c:pt idx="9">
                  <c:v>0.16031219999999999</c:v>
                </c:pt>
                <c:pt idx="10">
                  <c:v>0.16031219999999999</c:v>
                </c:pt>
                <c:pt idx="11">
                  <c:v>0.18774750000000001</c:v>
                </c:pt>
                <c:pt idx="12">
                  <c:v>0.621313</c:v>
                </c:pt>
                <c:pt idx="13">
                  <c:v>0.621313</c:v>
                </c:pt>
                <c:pt idx="14">
                  <c:v>0.621313</c:v>
                </c:pt>
                <c:pt idx="15">
                  <c:v>0.621313</c:v>
                </c:pt>
                <c:pt idx="16">
                  <c:v>0.621313</c:v>
                </c:pt>
                <c:pt idx="17">
                  <c:v>0.621313</c:v>
                </c:pt>
                <c:pt idx="18">
                  <c:v>0.621313</c:v>
                </c:pt>
                <c:pt idx="19">
                  <c:v>0.621313</c:v>
                </c:pt>
                <c:pt idx="20">
                  <c:v>0.96480250000000001</c:v>
                </c:pt>
                <c:pt idx="21">
                  <c:v>0.99676500000000001</c:v>
                </c:pt>
                <c:pt idx="22">
                  <c:v>1.1189150000000001</c:v>
                </c:pt>
                <c:pt idx="23">
                  <c:v>1.4183874999999999</c:v>
                </c:pt>
                <c:pt idx="24">
                  <c:v>1.4183874999999999</c:v>
                </c:pt>
                <c:pt idx="25">
                  <c:v>1.4183874999999999</c:v>
                </c:pt>
                <c:pt idx="26">
                  <c:v>1.4183874999999999</c:v>
                </c:pt>
                <c:pt idx="27">
                  <c:v>1.5229200000000001</c:v>
                </c:pt>
                <c:pt idx="28">
                  <c:v>1.5229200000000001</c:v>
                </c:pt>
                <c:pt idx="29">
                  <c:v>1.5229200000000001</c:v>
                </c:pt>
                <c:pt idx="30">
                  <c:v>1.5229200000000001</c:v>
                </c:pt>
                <c:pt idx="31">
                  <c:v>1.6448525000000001</c:v>
                </c:pt>
                <c:pt idx="32">
                  <c:v>1.65821</c:v>
                </c:pt>
                <c:pt idx="33">
                  <c:v>1.65821</c:v>
                </c:pt>
                <c:pt idx="34">
                  <c:v>1.6968325</c:v>
                </c:pt>
                <c:pt idx="35">
                  <c:v>1.6968325</c:v>
                </c:pt>
                <c:pt idx="36">
                  <c:v>1.7041200000000001</c:v>
                </c:pt>
                <c:pt idx="37">
                  <c:v>1.7041200000000001</c:v>
                </c:pt>
                <c:pt idx="38">
                  <c:v>1.7041200000000001</c:v>
                </c:pt>
                <c:pt idx="39">
                  <c:v>1.7041200000000001</c:v>
                </c:pt>
                <c:pt idx="40">
                  <c:v>1.7041200000000001</c:v>
                </c:pt>
                <c:pt idx="41">
                  <c:v>1.7041200000000001</c:v>
                </c:pt>
                <c:pt idx="42">
                  <c:v>1.7914300000000001</c:v>
                </c:pt>
                <c:pt idx="43">
                  <c:v>1.8077375</c:v>
                </c:pt>
                <c:pt idx="44">
                  <c:v>1.8108925</c:v>
                </c:pt>
                <c:pt idx="45">
                  <c:v>1.8108925</c:v>
                </c:pt>
                <c:pt idx="46">
                  <c:v>1.8231299999999999</c:v>
                </c:pt>
                <c:pt idx="47">
                  <c:v>1.8231299999999999</c:v>
                </c:pt>
                <c:pt idx="48">
                  <c:v>1.8884775</c:v>
                </c:pt>
                <c:pt idx="49">
                  <c:v>1.8985924999999999</c:v>
                </c:pt>
                <c:pt idx="50">
                  <c:v>1.8985924999999999</c:v>
                </c:pt>
                <c:pt idx="51">
                  <c:v>1.90635</c:v>
                </c:pt>
                <c:pt idx="52">
                  <c:v>1.9143675</c:v>
                </c:pt>
                <c:pt idx="53">
                  <c:v>1.9170925000000001</c:v>
                </c:pt>
                <c:pt idx="54">
                  <c:v>1.9170925000000001</c:v>
                </c:pt>
                <c:pt idx="55">
                  <c:v>1.9170925000000001</c:v>
                </c:pt>
                <c:pt idx="56">
                  <c:v>10</c:v>
                </c:pt>
              </c:numCache>
            </c:numRef>
          </c:xVal>
          <c:yVal>
            <c:numRef>
              <c:f>'H401'!$E$49:$ZZ$49</c:f>
              <c:numCache>
                <c:formatCode>General</c:formatCode>
                <c:ptCount val="698"/>
                <c:pt idx="0">
                  <c:v>5.3833333333333337</c:v>
                </c:pt>
                <c:pt idx="1">
                  <c:v>2.9363636363636365</c:v>
                </c:pt>
                <c:pt idx="2">
                  <c:v>2.9099099099099099</c:v>
                </c:pt>
                <c:pt idx="3">
                  <c:v>2.9099099099099099</c:v>
                </c:pt>
                <c:pt idx="4">
                  <c:v>2.1390728476821192</c:v>
                </c:pt>
                <c:pt idx="5">
                  <c:v>2.1390728476821192</c:v>
                </c:pt>
                <c:pt idx="6">
                  <c:v>2.1111111111111112</c:v>
                </c:pt>
                <c:pt idx="7">
                  <c:v>2.0443037974683542</c:v>
                </c:pt>
                <c:pt idx="8">
                  <c:v>2.0187499999999998</c:v>
                </c:pt>
                <c:pt idx="9">
                  <c:v>2.0187499999999998</c:v>
                </c:pt>
                <c:pt idx="10">
                  <c:v>2.0062111801242235</c:v>
                </c:pt>
                <c:pt idx="11">
                  <c:v>1.7272727272727273</c:v>
                </c:pt>
                <c:pt idx="12">
                  <c:v>1.6564102564102565</c:v>
                </c:pt>
                <c:pt idx="13">
                  <c:v>1.6479591836734695</c:v>
                </c:pt>
                <c:pt idx="14">
                  <c:v>1.6479591836734695</c:v>
                </c:pt>
                <c:pt idx="15">
                  <c:v>1.6395939086294415</c:v>
                </c:pt>
                <c:pt idx="16">
                  <c:v>1.6395939086294415</c:v>
                </c:pt>
                <c:pt idx="17">
                  <c:v>1.575609756097561</c:v>
                </c:pt>
                <c:pt idx="18">
                  <c:v>1.5454545454545454</c:v>
                </c:pt>
                <c:pt idx="19">
                  <c:v>1.5454545454545454</c:v>
                </c:pt>
                <c:pt idx="20">
                  <c:v>1.3686440677966101</c:v>
                </c:pt>
                <c:pt idx="21">
                  <c:v>1.3686440677966101</c:v>
                </c:pt>
                <c:pt idx="22">
                  <c:v>1.3628691983122363</c:v>
                </c:pt>
                <c:pt idx="23">
                  <c:v>1.3292181069958848</c:v>
                </c:pt>
                <c:pt idx="24">
                  <c:v>1.3237704918032787</c:v>
                </c:pt>
                <c:pt idx="25">
                  <c:v>1.3237704918032787</c:v>
                </c:pt>
                <c:pt idx="26">
                  <c:v>1.3130081300813008</c:v>
                </c:pt>
                <c:pt idx="27">
                  <c:v>1.2375478927203065</c:v>
                </c:pt>
                <c:pt idx="28">
                  <c:v>1.2328244274809161</c:v>
                </c:pt>
                <c:pt idx="29">
                  <c:v>1.2281368821292775</c:v>
                </c:pt>
                <c:pt idx="30">
                  <c:v>1.1660649819494584</c:v>
                </c:pt>
                <c:pt idx="31">
                  <c:v>1.1535714285714285</c:v>
                </c:pt>
                <c:pt idx="32">
                  <c:v>1.1494661921708185</c:v>
                </c:pt>
                <c:pt idx="33">
                  <c:v>1.1453900709219857</c:v>
                </c:pt>
                <c:pt idx="34">
                  <c:v>1.1413427561837455</c:v>
                </c:pt>
                <c:pt idx="35">
                  <c:v>1.1413427561837455</c:v>
                </c:pt>
                <c:pt idx="36">
                  <c:v>1.1413427561837455</c:v>
                </c:pt>
                <c:pt idx="37">
                  <c:v>1.1333333333333333</c:v>
                </c:pt>
                <c:pt idx="38">
                  <c:v>1.1333333333333333</c:v>
                </c:pt>
                <c:pt idx="39">
                  <c:v>1.1293706293706294</c:v>
                </c:pt>
                <c:pt idx="40">
                  <c:v>1.1293706293706294</c:v>
                </c:pt>
                <c:pt idx="41">
                  <c:v>1.1254355400696865</c:v>
                </c:pt>
                <c:pt idx="42">
                  <c:v>1.0838926174496644</c:v>
                </c:pt>
                <c:pt idx="43">
                  <c:v>1.0838926174496644</c:v>
                </c:pt>
                <c:pt idx="44">
                  <c:v>1.0838926174496644</c:v>
                </c:pt>
                <c:pt idx="45">
                  <c:v>1.0766666666666667</c:v>
                </c:pt>
                <c:pt idx="46">
                  <c:v>1.0590163934426229</c:v>
                </c:pt>
                <c:pt idx="47">
                  <c:v>1.0555555555555556</c:v>
                </c:pt>
                <c:pt idx="48">
                  <c:v>1.0352564102564104</c:v>
                </c:pt>
                <c:pt idx="49">
                  <c:v>1.0319488817891374</c:v>
                </c:pt>
                <c:pt idx="50">
                  <c:v>1.0319488817891374</c:v>
                </c:pt>
                <c:pt idx="51">
                  <c:v>1.0253968253968253</c:v>
                </c:pt>
                <c:pt idx="52">
                  <c:v>1.0157232704402517</c:v>
                </c:pt>
                <c:pt idx="53">
                  <c:v>1.0125391849529781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38-4037-B8CA-E85D1E681E5E}"/>
            </c:ext>
          </c:extLst>
        </c:ser>
        <c:ser>
          <c:idx val="2"/>
          <c:order val="2"/>
          <c:tx>
            <c:v>H403</c:v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'H403'!$E$47:$ZZ$47</c:f>
              <c:numCache>
                <c:formatCode>General</c:formatCode>
                <c:ptCount val="698"/>
                <c:pt idx="0">
                  <c:v>0</c:v>
                </c:pt>
                <c:pt idx="1">
                  <c:v>9.6914500000000001E-2</c:v>
                </c:pt>
                <c:pt idx="2">
                  <c:v>9.6914500000000001E-2</c:v>
                </c:pt>
                <c:pt idx="3">
                  <c:v>0.72158949999999999</c:v>
                </c:pt>
                <c:pt idx="4">
                  <c:v>0.72212825000000003</c:v>
                </c:pt>
                <c:pt idx="5">
                  <c:v>0.72212825000000003</c:v>
                </c:pt>
                <c:pt idx="6">
                  <c:v>0.72212825000000003</c:v>
                </c:pt>
                <c:pt idx="7">
                  <c:v>0.83152174999999995</c:v>
                </c:pt>
                <c:pt idx="8">
                  <c:v>0.84141900000000003</c:v>
                </c:pt>
                <c:pt idx="9">
                  <c:v>0.84141900000000003</c:v>
                </c:pt>
                <c:pt idx="10">
                  <c:v>0.90917999999999999</c:v>
                </c:pt>
                <c:pt idx="11">
                  <c:v>0.91796750000000005</c:v>
                </c:pt>
                <c:pt idx="12">
                  <c:v>1.0343074999999999</c:v>
                </c:pt>
                <c:pt idx="13">
                  <c:v>1.0343074999999999</c:v>
                </c:pt>
                <c:pt idx="14">
                  <c:v>1.0343074999999999</c:v>
                </c:pt>
                <c:pt idx="15">
                  <c:v>1.090365</c:v>
                </c:pt>
                <c:pt idx="16">
                  <c:v>1.0936952499999999</c:v>
                </c:pt>
                <c:pt idx="17">
                  <c:v>1.0936952499999999</c:v>
                </c:pt>
                <c:pt idx="18">
                  <c:v>1.1353545</c:v>
                </c:pt>
                <c:pt idx="19">
                  <c:v>1.1371785000000001</c:v>
                </c:pt>
                <c:pt idx="20">
                  <c:v>1.1371785000000001</c:v>
                </c:pt>
                <c:pt idx="21">
                  <c:v>1.1862410000000001</c:v>
                </c:pt>
                <c:pt idx="22">
                  <c:v>1.1862410000000001</c:v>
                </c:pt>
                <c:pt idx="23">
                  <c:v>1.1862410000000001</c:v>
                </c:pt>
                <c:pt idx="24">
                  <c:v>1.1914450000000001</c:v>
                </c:pt>
                <c:pt idx="25">
                  <c:v>1.26797</c:v>
                </c:pt>
                <c:pt idx="26">
                  <c:v>1.2698725</c:v>
                </c:pt>
                <c:pt idx="27">
                  <c:v>1.2698725</c:v>
                </c:pt>
                <c:pt idx="28">
                  <c:v>1.3136675</c:v>
                </c:pt>
                <c:pt idx="29">
                  <c:v>1.4161925</c:v>
                </c:pt>
                <c:pt idx="30">
                  <c:v>1.4161925</c:v>
                </c:pt>
                <c:pt idx="31">
                  <c:v>1.4778899999999999</c:v>
                </c:pt>
                <c:pt idx="32">
                  <c:v>1.5733425000000001</c:v>
                </c:pt>
                <c:pt idx="33">
                  <c:v>1.5733425000000001</c:v>
                </c:pt>
                <c:pt idx="34">
                  <c:v>1.7892874999999999</c:v>
                </c:pt>
                <c:pt idx="35">
                  <c:v>1.7892874999999999</c:v>
                </c:pt>
                <c:pt idx="36">
                  <c:v>1.8152725000000001</c:v>
                </c:pt>
                <c:pt idx="37">
                  <c:v>1.88581</c:v>
                </c:pt>
                <c:pt idx="38">
                  <c:v>1.88605</c:v>
                </c:pt>
                <c:pt idx="39">
                  <c:v>1.88605</c:v>
                </c:pt>
                <c:pt idx="40">
                  <c:v>1.88605</c:v>
                </c:pt>
                <c:pt idx="41">
                  <c:v>1.88605</c:v>
                </c:pt>
                <c:pt idx="42">
                  <c:v>1.88605</c:v>
                </c:pt>
                <c:pt idx="43">
                  <c:v>1.88605</c:v>
                </c:pt>
                <c:pt idx="44">
                  <c:v>1.88605</c:v>
                </c:pt>
                <c:pt idx="45">
                  <c:v>1.88605</c:v>
                </c:pt>
                <c:pt idx="46">
                  <c:v>1.950245</c:v>
                </c:pt>
                <c:pt idx="47">
                  <c:v>1.950245</c:v>
                </c:pt>
                <c:pt idx="48">
                  <c:v>2.059415</c:v>
                </c:pt>
                <c:pt idx="49">
                  <c:v>2.059415</c:v>
                </c:pt>
                <c:pt idx="50">
                  <c:v>2.059415</c:v>
                </c:pt>
                <c:pt idx="51">
                  <c:v>2.059415</c:v>
                </c:pt>
                <c:pt idx="52">
                  <c:v>2.1547125</c:v>
                </c:pt>
                <c:pt idx="53">
                  <c:v>2.1547125</c:v>
                </c:pt>
                <c:pt idx="54">
                  <c:v>2.1547125</c:v>
                </c:pt>
                <c:pt idx="55">
                  <c:v>2.1547125</c:v>
                </c:pt>
                <c:pt idx="56">
                  <c:v>2.1547125</c:v>
                </c:pt>
                <c:pt idx="57">
                  <c:v>2.1547125</c:v>
                </c:pt>
                <c:pt idx="58">
                  <c:v>2.2048624999999999</c:v>
                </c:pt>
                <c:pt idx="59">
                  <c:v>2.2048624999999999</c:v>
                </c:pt>
                <c:pt idx="60">
                  <c:v>2.2048624999999999</c:v>
                </c:pt>
                <c:pt idx="61">
                  <c:v>2.2048624999999999</c:v>
                </c:pt>
                <c:pt idx="62">
                  <c:v>2.2850025</c:v>
                </c:pt>
                <c:pt idx="63">
                  <c:v>2.2850025</c:v>
                </c:pt>
                <c:pt idx="64">
                  <c:v>2.2850025</c:v>
                </c:pt>
                <c:pt idx="65">
                  <c:v>2.3149899999999999</c:v>
                </c:pt>
                <c:pt idx="66">
                  <c:v>2.3195049999999999</c:v>
                </c:pt>
                <c:pt idx="67">
                  <c:v>2.3195049999999999</c:v>
                </c:pt>
                <c:pt idx="68">
                  <c:v>2.4279275</c:v>
                </c:pt>
                <c:pt idx="69">
                  <c:v>2.4279275</c:v>
                </c:pt>
                <c:pt idx="70">
                  <c:v>2.4279275</c:v>
                </c:pt>
                <c:pt idx="71">
                  <c:v>2.4279275</c:v>
                </c:pt>
                <c:pt idx="72">
                  <c:v>2.4279275</c:v>
                </c:pt>
                <c:pt idx="73">
                  <c:v>2.4295225</c:v>
                </c:pt>
                <c:pt idx="74">
                  <c:v>2.4298600000000001</c:v>
                </c:pt>
                <c:pt idx="75">
                  <c:v>2.4298600000000001</c:v>
                </c:pt>
                <c:pt idx="76">
                  <c:v>2.4298600000000001</c:v>
                </c:pt>
                <c:pt idx="77">
                  <c:v>2.4298600000000001</c:v>
                </c:pt>
                <c:pt idx="78">
                  <c:v>2.4298600000000001</c:v>
                </c:pt>
                <c:pt idx="79">
                  <c:v>2.4298600000000001</c:v>
                </c:pt>
                <c:pt idx="80">
                  <c:v>2.4298600000000001</c:v>
                </c:pt>
                <c:pt idx="81">
                  <c:v>2.4298600000000001</c:v>
                </c:pt>
                <c:pt idx="82">
                  <c:v>2.4298600000000001</c:v>
                </c:pt>
                <c:pt idx="83">
                  <c:v>2.4298600000000001</c:v>
                </c:pt>
                <c:pt idx="84">
                  <c:v>2.4298600000000001</c:v>
                </c:pt>
                <c:pt idx="85">
                  <c:v>2.4298600000000001</c:v>
                </c:pt>
                <c:pt idx="86">
                  <c:v>2.4298600000000001</c:v>
                </c:pt>
                <c:pt idx="87">
                  <c:v>2.4298600000000001</c:v>
                </c:pt>
                <c:pt idx="88">
                  <c:v>2.5023599999999999</c:v>
                </c:pt>
                <c:pt idx="89">
                  <c:v>2.5673149999999998</c:v>
                </c:pt>
                <c:pt idx="90">
                  <c:v>2.5673149999999998</c:v>
                </c:pt>
                <c:pt idx="91">
                  <c:v>10</c:v>
                </c:pt>
              </c:numCache>
            </c:numRef>
          </c:xVal>
          <c:yVal>
            <c:numRef>
              <c:f>'H403'!$E$49:$ZZ$49</c:f>
              <c:numCache>
                <c:formatCode>General</c:formatCode>
                <c:ptCount val="698"/>
                <c:pt idx="0">
                  <c:v>6.7666666666666666</c:v>
                </c:pt>
                <c:pt idx="1">
                  <c:v>2.182795698924731</c:v>
                </c:pt>
                <c:pt idx="2">
                  <c:v>2.182795698924731</c:v>
                </c:pt>
                <c:pt idx="3">
                  <c:v>2.0927835051546393</c:v>
                </c:pt>
                <c:pt idx="4">
                  <c:v>2.0820512820512822</c:v>
                </c:pt>
                <c:pt idx="5">
                  <c:v>2.0820512820512822</c:v>
                </c:pt>
                <c:pt idx="6">
                  <c:v>2</c:v>
                </c:pt>
                <c:pt idx="7">
                  <c:v>1.9901960784313726</c:v>
                </c:pt>
                <c:pt idx="8">
                  <c:v>1.9804878048780488</c:v>
                </c:pt>
                <c:pt idx="9">
                  <c:v>1.9241706161137442</c:v>
                </c:pt>
                <c:pt idx="10">
                  <c:v>1.9150943396226414</c:v>
                </c:pt>
                <c:pt idx="11">
                  <c:v>1.8971962616822431</c:v>
                </c:pt>
                <c:pt idx="12">
                  <c:v>1.7964601769911503</c:v>
                </c:pt>
                <c:pt idx="13">
                  <c:v>1.7964601769911503</c:v>
                </c:pt>
                <c:pt idx="14">
                  <c:v>1.7964601769911503</c:v>
                </c:pt>
                <c:pt idx="15">
                  <c:v>1.7964601769911503</c:v>
                </c:pt>
                <c:pt idx="16">
                  <c:v>1.7964601769911503</c:v>
                </c:pt>
                <c:pt idx="17">
                  <c:v>1.7964601769911503</c:v>
                </c:pt>
                <c:pt idx="18">
                  <c:v>1.7964601769911503</c:v>
                </c:pt>
                <c:pt idx="19">
                  <c:v>1.7964601769911503</c:v>
                </c:pt>
                <c:pt idx="20">
                  <c:v>1.7964601769911503</c:v>
                </c:pt>
                <c:pt idx="21">
                  <c:v>1.742489270386266</c:v>
                </c:pt>
                <c:pt idx="22">
                  <c:v>1.5984251968503937</c:v>
                </c:pt>
                <c:pt idx="23">
                  <c:v>1.5984251968503937</c:v>
                </c:pt>
                <c:pt idx="24">
                  <c:v>1.5984251968503937</c:v>
                </c:pt>
                <c:pt idx="25">
                  <c:v>1.4710144927536233</c:v>
                </c:pt>
                <c:pt idx="26">
                  <c:v>1.4710144927536233</c:v>
                </c:pt>
                <c:pt idx="27">
                  <c:v>1.4710144927536233</c:v>
                </c:pt>
                <c:pt idx="28">
                  <c:v>1.460431654676259</c:v>
                </c:pt>
                <c:pt idx="29">
                  <c:v>1.460431654676259</c:v>
                </c:pt>
                <c:pt idx="30">
                  <c:v>1.4551971326164874</c:v>
                </c:pt>
                <c:pt idx="31">
                  <c:v>1.3311475409836067</c:v>
                </c:pt>
                <c:pt idx="32">
                  <c:v>1.326797385620915</c:v>
                </c:pt>
                <c:pt idx="33">
                  <c:v>1.326797385620915</c:v>
                </c:pt>
                <c:pt idx="34">
                  <c:v>1.2340425531914894</c:v>
                </c:pt>
                <c:pt idx="35">
                  <c:v>1.2340425531914894</c:v>
                </c:pt>
                <c:pt idx="36">
                  <c:v>1.2340425531914894</c:v>
                </c:pt>
                <c:pt idx="37">
                  <c:v>1.1534090909090908</c:v>
                </c:pt>
                <c:pt idx="38">
                  <c:v>1.1534090909090908</c:v>
                </c:pt>
                <c:pt idx="39">
                  <c:v>1.1534090909090908</c:v>
                </c:pt>
                <c:pt idx="40">
                  <c:v>1.1534090909090908</c:v>
                </c:pt>
                <c:pt idx="41">
                  <c:v>1.1501416430594902</c:v>
                </c:pt>
                <c:pt idx="42">
                  <c:v>1.1501416430594902</c:v>
                </c:pt>
                <c:pt idx="43">
                  <c:v>1.1468926553672316</c:v>
                </c:pt>
                <c:pt idx="44">
                  <c:v>1.1468926553672316</c:v>
                </c:pt>
                <c:pt idx="45">
                  <c:v>1.1468926553672316</c:v>
                </c:pt>
                <c:pt idx="46">
                  <c:v>1.1468926553672316</c:v>
                </c:pt>
                <c:pt idx="47">
                  <c:v>1.1468926553672316</c:v>
                </c:pt>
                <c:pt idx="48">
                  <c:v>1.1032608695652173</c:v>
                </c:pt>
                <c:pt idx="49">
                  <c:v>1.1032608695652173</c:v>
                </c:pt>
                <c:pt idx="50">
                  <c:v>1.1002710027100271</c:v>
                </c:pt>
                <c:pt idx="51">
                  <c:v>1.0884718498659518</c:v>
                </c:pt>
                <c:pt idx="52">
                  <c:v>1.0656167979002624</c:v>
                </c:pt>
                <c:pt idx="53">
                  <c:v>1.0656167979002624</c:v>
                </c:pt>
                <c:pt idx="54">
                  <c:v>1.0656167979002624</c:v>
                </c:pt>
                <c:pt idx="55">
                  <c:v>1.0518134715025906</c:v>
                </c:pt>
                <c:pt idx="56">
                  <c:v>1.0490956072351421</c:v>
                </c:pt>
                <c:pt idx="57">
                  <c:v>1.0490956072351421</c:v>
                </c:pt>
                <c:pt idx="58">
                  <c:v>1.0437017994858613</c:v>
                </c:pt>
                <c:pt idx="59">
                  <c:v>1.0410256410256411</c:v>
                </c:pt>
                <c:pt idx="60">
                  <c:v>1.0410256410256411</c:v>
                </c:pt>
                <c:pt idx="61">
                  <c:v>1.0410256410256411</c:v>
                </c:pt>
                <c:pt idx="62">
                  <c:v>1.0357142857142858</c:v>
                </c:pt>
                <c:pt idx="63">
                  <c:v>1.0304568527918783</c:v>
                </c:pt>
                <c:pt idx="64">
                  <c:v>1.0304568527918783</c:v>
                </c:pt>
                <c:pt idx="65">
                  <c:v>1.0278481012658227</c:v>
                </c:pt>
                <c:pt idx="66">
                  <c:v>1.0278481012658227</c:v>
                </c:pt>
                <c:pt idx="67">
                  <c:v>1.0252525252525253</c:v>
                </c:pt>
                <c:pt idx="68">
                  <c:v>1.0252525252525253</c:v>
                </c:pt>
                <c:pt idx="69">
                  <c:v>1.0226700251889169</c:v>
                </c:pt>
                <c:pt idx="70">
                  <c:v>1.0226700251889169</c:v>
                </c:pt>
                <c:pt idx="71">
                  <c:v>1.0201005025125629</c:v>
                </c:pt>
                <c:pt idx="72">
                  <c:v>1.0201005025125629</c:v>
                </c:pt>
                <c:pt idx="73">
                  <c:v>1.0201005025125629</c:v>
                </c:pt>
                <c:pt idx="74">
                  <c:v>1.0175438596491229</c:v>
                </c:pt>
                <c:pt idx="75">
                  <c:v>1.0175438596491229</c:v>
                </c:pt>
                <c:pt idx="76">
                  <c:v>1.0175438596491229</c:v>
                </c:pt>
                <c:pt idx="77">
                  <c:v>1.0175438596491229</c:v>
                </c:pt>
                <c:pt idx="78">
                  <c:v>1.0149999999999999</c:v>
                </c:pt>
                <c:pt idx="79">
                  <c:v>1.0149999999999999</c:v>
                </c:pt>
                <c:pt idx="80">
                  <c:v>1.0149999999999999</c:v>
                </c:pt>
                <c:pt idx="81">
                  <c:v>1.0149999999999999</c:v>
                </c:pt>
                <c:pt idx="82">
                  <c:v>1.0149999999999999</c:v>
                </c:pt>
                <c:pt idx="83">
                  <c:v>1.0149999999999999</c:v>
                </c:pt>
                <c:pt idx="84">
                  <c:v>1.0149999999999999</c:v>
                </c:pt>
                <c:pt idx="85">
                  <c:v>1.0149999999999999</c:v>
                </c:pt>
                <c:pt idx="86">
                  <c:v>1.0149999999999999</c:v>
                </c:pt>
                <c:pt idx="87">
                  <c:v>1.004950495049505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38-4037-B8CA-E85D1E681E5E}"/>
            </c:ext>
          </c:extLst>
        </c:ser>
        <c:ser>
          <c:idx val="3"/>
          <c:order val="3"/>
          <c:tx>
            <c:v>H404</c:v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'H404'!$E$47:$ZZ$47</c:f>
              <c:numCache>
                <c:formatCode>General</c:formatCode>
                <c:ptCount val="698"/>
                <c:pt idx="0">
                  <c:v>0</c:v>
                </c:pt>
                <c:pt idx="1">
                  <c:v>2.8657249999999999E-2</c:v>
                </c:pt>
                <c:pt idx="2">
                  <c:v>2.8657249999999999E-2</c:v>
                </c:pt>
                <c:pt idx="3">
                  <c:v>2.8657249999999999E-2</c:v>
                </c:pt>
                <c:pt idx="4">
                  <c:v>3.0153249999999899E-2</c:v>
                </c:pt>
                <c:pt idx="5">
                  <c:v>3.0153249999999899E-2</c:v>
                </c:pt>
                <c:pt idx="6">
                  <c:v>3.0153249999999899E-2</c:v>
                </c:pt>
                <c:pt idx="7">
                  <c:v>0.10399875</c:v>
                </c:pt>
                <c:pt idx="8">
                  <c:v>0.10399875</c:v>
                </c:pt>
                <c:pt idx="9">
                  <c:v>0.10399875</c:v>
                </c:pt>
                <c:pt idx="10">
                  <c:v>0.15927674999999999</c:v>
                </c:pt>
                <c:pt idx="11">
                  <c:v>0.15927674999999999</c:v>
                </c:pt>
                <c:pt idx="12">
                  <c:v>0.15927674999999999</c:v>
                </c:pt>
                <c:pt idx="13">
                  <c:v>0.15927674999999999</c:v>
                </c:pt>
                <c:pt idx="14">
                  <c:v>0.15927674999999999</c:v>
                </c:pt>
                <c:pt idx="15">
                  <c:v>0.15927674999999999</c:v>
                </c:pt>
                <c:pt idx="16">
                  <c:v>0.26008500000000001</c:v>
                </c:pt>
                <c:pt idx="17">
                  <c:v>0.36847750000000001</c:v>
                </c:pt>
                <c:pt idx="18">
                  <c:v>0.3787625</c:v>
                </c:pt>
                <c:pt idx="19">
                  <c:v>0.7063275</c:v>
                </c:pt>
                <c:pt idx="20">
                  <c:v>0.9544975</c:v>
                </c:pt>
                <c:pt idx="21">
                  <c:v>1.0243225</c:v>
                </c:pt>
                <c:pt idx="22">
                  <c:v>1.0243225</c:v>
                </c:pt>
                <c:pt idx="23">
                  <c:v>1.0775375</c:v>
                </c:pt>
                <c:pt idx="24">
                  <c:v>1.1540600000000001</c:v>
                </c:pt>
                <c:pt idx="25">
                  <c:v>1.1933175</c:v>
                </c:pt>
                <c:pt idx="26">
                  <c:v>1.3963975</c:v>
                </c:pt>
                <c:pt idx="27">
                  <c:v>1.47997</c:v>
                </c:pt>
                <c:pt idx="28">
                  <c:v>1.47997</c:v>
                </c:pt>
                <c:pt idx="29">
                  <c:v>1.47997</c:v>
                </c:pt>
                <c:pt idx="30">
                  <c:v>1.47997</c:v>
                </c:pt>
                <c:pt idx="31">
                  <c:v>1.47997</c:v>
                </c:pt>
                <c:pt idx="32">
                  <c:v>1.5713200000000001</c:v>
                </c:pt>
                <c:pt idx="33">
                  <c:v>1.5713200000000001</c:v>
                </c:pt>
                <c:pt idx="34">
                  <c:v>1.5713200000000001</c:v>
                </c:pt>
                <c:pt idx="35">
                  <c:v>1.572235</c:v>
                </c:pt>
                <c:pt idx="36">
                  <c:v>1.6449849999999999</c:v>
                </c:pt>
                <c:pt idx="37">
                  <c:v>1.6696850000000001</c:v>
                </c:pt>
                <c:pt idx="38">
                  <c:v>1.672185</c:v>
                </c:pt>
                <c:pt idx="39">
                  <c:v>1.7637674999999999</c:v>
                </c:pt>
                <c:pt idx="40">
                  <c:v>1.8365899999999999</c:v>
                </c:pt>
                <c:pt idx="41">
                  <c:v>1.8365899999999999</c:v>
                </c:pt>
                <c:pt idx="42">
                  <c:v>1.8365899999999999</c:v>
                </c:pt>
                <c:pt idx="43">
                  <c:v>1.8365899999999999</c:v>
                </c:pt>
                <c:pt idx="44">
                  <c:v>1.8365899999999999</c:v>
                </c:pt>
                <c:pt idx="45">
                  <c:v>1.8365899999999999</c:v>
                </c:pt>
                <c:pt idx="46">
                  <c:v>1.9121575</c:v>
                </c:pt>
                <c:pt idx="47">
                  <c:v>1.9121575</c:v>
                </c:pt>
                <c:pt idx="48">
                  <c:v>1.9267675</c:v>
                </c:pt>
                <c:pt idx="49">
                  <c:v>1.9956125</c:v>
                </c:pt>
                <c:pt idx="50">
                  <c:v>2.0128575</c:v>
                </c:pt>
                <c:pt idx="51">
                  <c:v>2.0168175000000002</c:v>
                </c:pt>
                <c:pt idx="52">
                  <c:v>2.0168175000000002</c:v>
                </c:pt>
                <c:pt idx="53">
                  <c:v>2.0168175000000002</c:v>
                </c:pt>
                <c:pt idx="54">
                  <c:v>2.0168175000000002</c:v>
                </c:pt>
                <c:pt idx="55">
                  <c:v>2.0168175000000002</c:v>
                </c:pt>
                <c:pt idx="56">
                  <c:v>2.0634225000000002</c:v>
                </c:pt>
                <c:pt idx="57">
                  <c:v>2.0634225000000002</c:v>
                </c:pt>
                <c:pt idx="58">
                  <c:v>2.0634225000000002</c:v>
                </c:pt>
                <c:pt idx="59">
                  <c:v>2.0634225000000002</c:v>
                </c:pt>
                <c:pt idx="60">
                  <c:v>2.0634225000000002</c:v>
                </c:pt>
                <c:pt idx="61">
                  <c:v>2.0634225000000002</c:v>
                </c:pt>
                <c:pt idx="62">
                  <c:v>2.0634225000000002</c:v>
                </c:pt>
                <c:pt idx="63">
                  <c:v>2.0634225000000002</c:v>
                </c:pt>
                <c:pt idx="64">
                  <c:v>2.0634225000000002</c:v>
                </c:pt>
                <c:pt idx="65">
                  <c:v>2.0811783333333298</c:v>
                </c:pt>
                <c:pt idx="66">
                  <c:v>2.0811783333333298</c:v>
                </c:pt>
                <c:pt idx="67">
                  <c:v>2.0811783333333298</c:v>
                </c:pt>
                <c:pt idx="68">
                  <c:v>2.0811783333333298</c:v>
                </c:pt>
                <c:pt idx="69">
                  <c:v>2.1084774999999998</c:v>
                </c:pt>
                <c:pt idx="70">
                  <c:v>2.1280975</c:v>
                </c:pt>
                <c:pt idx="71">
                  <c:v>2.2093266666666702</c:v>
                </c:pt>
                <c:pt idx="72">
                  <c:v>2.2093266666666702</c:v>
                </c:pt>
                <c:pt idx="73">
                  <c:v>2.24303083333333</c:v>
                </c:pt>
                <c:pt idx="74">
                  <c:v>2.24303083333333</c:v>
                </c:pt>
                <c:pt idx="75">
                  <c:v>2.3635475000000001</c:v>
                </c:pt>
                <c:pt idx="76">
                  <c:v>2.3635475000000001</c:v>
                </c:pt>
                <c:pt idx="77">
                  <c:v>10</c:v>
                </c:pt>
              </c:numCache>
            </c:numRef>
          </c:xVal>
          <c:yVal>
            <c:numRef>
              <c:f>'H404'!$E$49:$ZZ$49</c:f>
              <c:numCache>
                <c:formatCode>General</c:formatCode>
                <c:ptCount val="698"/>
                <c:pt idx="0">
                  <c:v>5.9814815213333334</c:v>
                </c:pt>
                <c:pt idx="1">
                  <c:v>3.1359223390555191</c:v>
                </c:pt>
                <c:pt idx="2">
                  <c:v>3.0761904847325168</c:v>
                </c:pt>
                <c:pt idx="3">
                  <c:v>3.0761904847325168</c:v>
                </c:pt>
                <c:pt idx="4">
                  <c:v>2.0974026004810256</c:v>
                </c:pt>
                <c:pt idx="5">
                  <c:v>2.0974026004810256</c:v>
                </c:pt>
                <c:pt idx="6">
                  <c:v>2.0974026004810256</c:v>
                </c:pt>
                <c:pt idx="7">
                  <c:v>1.8044692756845293</c:v>
                </c:pt>
                <c:pt idx="8">
                  <c:v>1.8044692756845293</c:v>
                </c:pt>
                <c:pt idx="9">
                  <c:v>1.8044692756845293</c:v>
                </c:pt>
                <c:pt idx="10">
                  <c:v>1.5990099022711499</c:v>
                </c:pt>
                <c:pt idx="11">
                  <c:v>1.5833333345686276</c:v>
                </c:pt>
                <c:pt idx="12">
                  <c:v>1.5833333345686276</c:v>
                </c:pt>
                <c:pt idx="13">
                  <c:v>1.5679611662396078</c:v>
                </c:pt>
                <c:pt idx="14">
                  <c:v>1.5679611662396078</c:v>
                </c:pt>
                <c:pt idx="15">
                  <c:v>1.5679611662396078</c:v>
                </c:pt>
                <c:pt idx="16">
                  <c:v>1.5679611662396078</c:v>
                </c:pt>
                <c:pt idx="17">
                  <c:v>1.5679611662396078</c:v>
                </c:pt>
                <c:pt idx="18">
                  <c:v>1.5679611662396078</c:v>
                </c:pt>
                <c:pt idx="19">
                  <c:v>1.5679611662396078</c:v>
                </c:pt>
                <c:pt idx="20">
                  <c:v>1.5679611662396078</c:v>
                </c:pt>
                <c:pt idx="21">
                  <c:v>1.5679611662396078</c:v>
                </c:pt>
                <c:pt idx="22">
                  <c:v>1.5679611662396078</c:v>
                </c:pt>
                <c:pt idx="23">
                  <c:v>1.5164319259300403</c:v>
                </c:pt>
                <c:pt idx="24">
                  <c:v>1.5164319259300403</c:v>
                </c:pt>
                <c:pt idx="25">
                  <c:v>1.5164319259300403</c:v>
                </c:pt>
                <c:pt idx="26">
                  <c:v>1.4104803501193341</c:v>
                </c:pt>
                <c:pt idx="27">
                  <c:v>1.4104803501193341</c:v>
                </c:pt>
                <c:pt idx="28">
                  <c:v>1.4104803501193341</c:v>
                </c:pt>
                <c:pt idx="29">
                  <c:v>1.4104803501193341</c:v>
                </c:pt>
                <c:pt idx="30">
                  <c:v>1.4104803501193341</c:v>
                </c:pt>
                <c:pt idx="31">
                  <c:v>1.4104803501193341</c:v>
                </c:pt>
                <c:pt idx="32">
                  <c:v>1.4104803501193341</c:v>
                </c:pt>
                <c:pt idx="33">
                  <c:v>1.4104803501193341</c:v>
                </c:pt>
                <c:pt idx="34">
                  <c:v>1.4043478268464273</c:v>
                </c:pt>
                <c:pt idx="35">
                  <c:v>1.3628691989736688</c:v>
                </c:pt>
                <c:pt idx="36">
                  <c:v>1.3458333339558335</c:v>
                </c:pt>
                <c:pt idx="37">
                  <c:v>1.276679842369667</c:v>
                </c:pt>
                <c:pt idx="38">
                  <c:v>1.2716535437691117</c:v>
                </c:pt>
                <c:pt idx="39">
                  <c:v>1.2716535437691117</c:v>
                </c:pt>
                <c:pt idx="40">
                  <c:v>1.228136882504012</c:v>
                </c:pt>
                <c:pt idx="41">
                  <c:v>1.2234848488505512</c:v>
                </c:pt>
                <c:pt idx="42">
                  <c:v>1.2234848488505512</c:v>
                </c:pt>
                <c:pt idx="43">
                  <c:v>1.218867924885098</c:v>
                </c:pt>
                <c:pt idx="44">
                  <c:v>1.218867924885098</c:v>
                </c:pt>
                <c:pt idx="45">
                  <c:v>1.2097378280547071</c:v>
                </c:pt>
                <c:pt idx="46">
                  <c:v>1.1618705038486623</c:v>
                </c:pt>
                <c:pt idx="47">
                  <c:v>1.1577060934341543</c:v>
                </c:pt>
                <c:pt idx="48">
                  <c:v>1.1577060934341543</c:v>
                </c:pt>
                <c:pt idx="49">
                  <c:v>1.1254355402584955</c:v>
                </c:pt>
                <c:pt idx="50">
                  <c:v>1.1061643837187092</c:v>
                </c:pt>
                <c:pt idx="51">
                  <c:v>1.1061643837187092</c:v>
                </c:pt>
                <c:pt idx="52">
                  <c:v>1.1061643837187092</c:v>
                </c:pt>
                <c:pt idx="53">
                  <c:v>1.1061643837187092</c:v>
                </c:pt>
                <c:pt idx="54">
                  <c:v>1.1061643837187092</c:v>
                </c:pt>
                <c:pt idx="55">
                  <c:v>1.1061643837187092</c:v>
                </c:pt>
                <c:pt idx="56">
                  <c:v>1.1061643837187092</c:v>
                </c:pt>
                <c:pt idx="57">
                  <c:v>1.1061643837187092</c:v>
                </c:pt>
                <c:pt idx="58">
                  <c:v>1.1061643837187092</c:v>
                </c:pt>
                <c:pt idx="59">
                  <c:v>1.1061643837187092</c:v>
                </c:pt>
                <c:pt idx="60">
                  <c:v>1.1061643837187092</c:v>
                </c:pt>
                <c:pt idx="61">
                  <c:v>1.1061643837187092</c:v>
                </c:pt>
                <c:pt idx="62">
                  <c:v>1.1061643837187092</c:v>
                </c:pt>
                <c:pt idx="63">
                  <c:v>1.1061643837187092</c:v>
                </c:pt>
                <c:pt idx="64">
                  <c:v>1.0660066007541744</c:v>
                </c:pt>
                <c:pt idx="65">
                  <c:v>1.0625000000888158</c:v>
                </c:pt>
                <c:pt idx="66">
                  <c:v>1.0625000000888158</c:v>
                </c:pt>
                <c:pt idx="67">
                  <c:v>1.0453074434290381</c:v>
                </c:pt>
                <c:pt idx="68">
                  <c:v>1.031948881833233</c:v>
                </c:pt>
                <c:pt idx="69">
                  <c:v>1.0286624204215993</c:v>
                </c:pt>
                <c:pt idx="70">
                  <c:v>1.012539184969959</c:v>
                </c:pt>
                <c:pt idx="71">
                  <c:v>1.012539184969959</c:v>
                </c:pt>
                <c:pt idx="72">
                  <c:v>1.0031055900662784</c:v>
                </c:pt>
                <c:pt idx="73">
                  <c:v>1.0031055900662784</c:v>
                </c:pt>
                <c:pt idx="74">
                  <c:v>1.0031055900662784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38-4037-B8CA-E85D1E681E5E}"/>
            </c:ext>
          </c:extLst>
        </c:ser>
        <c:ser>
          <c:idx val="0"/>
          <c:order val="4"/>
          <c:tx>
            <c:v>H602</c:v>
          </c:tx>
          <c:spPr>
            <a:ln w="15875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'H602'!$E$47:$ZZ$47</c:f>
              <c:numCache>
                <c:formatCode>General</c:formatCode>
                <c:ptCount val="698"/>
                <c:pt idx="0">
                  <c:v>0</c:v>
                </c:pt>
                <c:pt idx="1">
                  <c:v>1.9465985000000002E-2</c:v>
                </c:pt>
                <c:pt idx="2">
                  <c:v>2.282872E-2</c:v>
                </c:pt>
                <c:pt idx="3">
                  <c:v>3.6825999999999998E-2</c:v>
                </c:pt>
                <c:pt idx="4">
                  <c:v>3.6825999999999998E-2</c:v>
                </c:pt>
                <c:pt idx="5">
                  <c:v>3.6825999999999998E-2</c:v>
                </c:pt>
                <c:pt idx="6">
                  <c:v>4.4934000000000002E-2</c:v>
                </c:pt>
                <c:pt idx="7">
                  <c:v>4.7690499999999997E-2</c:v>
                </c:pt>
                <c:pt idx="8">
                  <c:v>4.7690499999999997E-2</c:v>
                </c:pt>
                <c:pt idx="9">
                  <c:v>8.8887749999999904E-2</c:v>
                </c:pt>
                <c:pt idx="10">
                  <c:v>8.8887749999999904E-2</c:v>
                </c:pt>
                <c:pt idx="11">
                  <c:v>8.8887749999999904E-2</c:v>
                </c:pt>
                <c:pt idx="12">
                  <c:v>0.29649199999999998</c:v>
                </c:pt>
                <c:pt idx="13">
                  <c:v>0.30921399999999999</c:v>
                </c:pt>
                <c:pt idx="14">
                  <c:v>0.30921399999999999</c:v>
                </c:pt>
                <c:pt idx="15">
                  <c:v>0.57692500000000002</c:v>
                </c:pt>
                <c:pt idx="16">
                  <c:v>0.59200050000000004</c:v>
                </c:pt>
                <c:pt idx="17">
                  <c:v>0.59200050000000004</c:v>
                </c:pt>
                <c:pt idx="18">
                  <c:v>0.93832475000000004</c:v>
                </c:pt>
                <c:pt idx="19">
                  <c:v>0.95066399999999995</c:v>
                </c:pt>
                <c:pt idx="20">
                  <c:v>0.95246500000000001</c:v>
                </c:pt>
                <c:pt idx="21">
                  <c:v>1.0443677499999999</c:v>
                </c:pt>
                <c:pt idx="22">
                  <c:v>1.0443677499999999</c:v>
                </c:pt>
                <c:pt idx="23">
                  <c:v>1.0443677499999999</c:v>
                </c:pt>
                <c:pt idx="24">
                  <c:v>1.1792180000000001</c:v>
                </c:pt>
                <c:pt idx="25">
                  <c:v>1.182072</c:v>
                </c:pt>
                <c:pt idx="26">
                  <c:v>1.182072</c:v>
                </c:pt>
                <c:pt idx="27">
                  <c:v>1.3597524999999999</c:v>
                </c:pt>
                <c:pt idx="28">
                  <c:v>1.3597524999999999</c:v>
                </c:pt>
                <c:pt idx="29">
                  <c:v>1.3597524999999999</c:v>
                </c:pt>
                <c:pt idx="30">
                  <c:v>1.5193175000000001</c:v>
                </c:pt>
                <c:pt idx="31">
                  <c:v>1.5223225</c:v>
                </c:pt>
                <c:pt idx="32">
                  <c:v>1.5223225</c:v>
                </c:pt>
                <c:pt idx="33">
                  <c:v>1.7078225</c:v>
                </c:pt>
                <c:pt idx="34">
                  <c:v>1.7078225</c:v>
                </c:pt>
                <c:pt idx="35">
                  <c:v>1.710475</c:v>
                </c:pt>
                <c:pt idx="36">
                  <c:v>1.8260425</c:v>
                </c:pt>
                <c:pt idx="37">
                  <c:v>1.8260425</c:v>
                </c:pt>
                <c:pt idx="38">
                  <c:v>1.8260425</c:v>
                </c:pt>
                <c:pt idx="39">
                  <c:v>1.8754325000000001</c:v>
                </c:pt>
                <c:pt idx="40">
                  <c:v>1.8765449999999999</c:v>
                </c:pt>
                <c:pt idx="41">
                  <c:v>1.8824574999999999</c:v>
                </c:pt>
                <c:pt idx="42">
                  <c:v>1.8824574999999999</c:v>
                </c:pt>
                <c:pt idx="43">
                  <c:v>1.8824574999999999</c:v>
                </c:pt>
                <c:pt idx="44">
                  <c:v>1.8824574999999999</c:v>
                </c:pt>
                <c:pt idx="45">
                  <c:v>1.8824574999999999</c:v>
                </c:pt>
                <c:pt idx="46">
                  <c:v>1.8824574999999999</c:v>
                </c:pt>
                <c:pt idx="47">
                  <c:v>1.8824574999999999</c:v>
                </c:pt>
                <c:pt idx="48">
                  <c:v>1.8944099999999999</c:v>
                </c:pt>
                <c:pt idx="49">
                  <c:v>1.8956500000000001</c:v>
                </c:pt>
                <c:pt idx="50">
                  <c:v>1.8956500000000001</c:v>
                </c:pt>
                <c:pt idx="51">
                  <c:v>1.9292199999999999</c:v>
                </c:pt>
                <c:pt idx="52">
                  <c:v>1.9331324999999999</c:v>
                </c:pt>
                <c:pt idx="53">
                  <c:v>1.9331324999999999</c:v>
                </c:pt>
                <c:pt idx="54">
                  <c:v>1.9331324999999999</c:v>
                </c:pt>
                <c:pt idx="55">
                  <c:v>1.9331324999999999</c:v>
                </c:pt>
                <c:pt idx="56">
                  <c:v>1.9331324999999999</c:v>
                </c:pt>
                <c:pt idx="57">
                  <c:v>10</c:v>
                </c:pt>
              </c:numCache>
            </c:numRef>
          </c:xVal>
          <c:yVal>
            <c:numRef>
              <c:f>'H602'!$E$49:$ZZ$49</c:f>
              <c:numCache>
                <c:formatCode>General</c:formatCode>
                <c:ptCount val="698"/>
                <c:pt idx="0">
                  <c:v>6.1</c:v>
                </c:pt>
                <c:pt idx="1">
                  <c:v>6.1</c:v>
                </c:pt>
                <c:pt idx="2">
                  <c:v>6.1</c:v>
                </c:pt>
                <c:pt idx="3">
                  <c:v>3.3577981651376145</c:v>
                </c:pt>
                <c:pt idx="4">
                  <c:v>3.3577981651376145</c:v>
                </c:pt>
                <c:pt idx="5">
                  <c:v>3.3577981651376145</c:v>
                </c:pt>
                <c:pt idx="6">
                  <c:v>2.2875000000000001</c:v>
                </c:pt>
                <c:pt idx="7">
                  <c:v>2.2875000000000001</c:v>
                </c:pt>
                <c:pt idx="8">
                  <c:v>2.2875000000000001</c:v>
                </c:pt>
                <c:pt idx="9">
                  <c:v>2.2875000000000001</c:v>
                </c:pt>
                <c:pt idx="10">
                  <c:v>2.2875000000000001</c:v>
                </c:pt>
                <c:pt idx="11">
                  <c:v>2.2875000000000001</c:v>
                </c:pt>
                <c:pt idx="12">
                  <c:v>1.8963730569948187</c:v>
                </c:pt>
                <c:pt idx="13">
                  <c:v>1.8865979381443299</c:v>
                </c:pt>
                <c:pt idx="14">
                  <c:v>1.8865979381443299</c:v>
                </c:pt>
                <c:pt idx="15">
                  <c:v>1.8865979381443299</c:v>
                </c:pt>
                <c:pt idx="16">
                  <c:v>1.8865979381443299</c:v>
                </c:pt>
                <c:pt idx="17">
                  <c:v>1.8865979381443299</c:v>
                </c:pt>
                <c:pt idx="18">
                  <c:v>1.7264150943396226</c:v>
                </c:pt>
                <c:pt idx="19">
                  <c:v>1.7264150943396226</c:v>
                </c:pt>
                <c:pt idx="20">
                  <c:v>1.7264150943396226</c:v>
                </c:pt>
                <c:pt idx="21">
                  <c:v>1.5641025641025641</c:v>
                </c:pt>
                <c:pt idx="22">
                  <c:v>1.5641025641025641</c:v>
                </c:pt>
                <c:pt idx="23">
                  <c:v>1.5641025641025641</c:v>
                </c:pt>
                <c:pt idx="24">
                  <c:v>1.4076923076923078</c:v>
                </c:pt>
                <c:pt idx="25">
                  <c:v>1.4076923076923078</c:v>
                </c:pt>
                <c:pt idx="26">
                  <c:v>1.4076923076923078</c:v>
                </c:pt>
                <c:pt idx="27">
                  <c:v>1.2842105263157895</c:v>
                </c:pt>
                <c:pt idx="28">
                  <c:v>1.2842105263157895</c:v>
                </c:pt>
                <c:pt idx="29">
                  <c:v>1.2842105263157895</c:v>
                </c:pt>
                <c:pt idx="30">
                  <c:v>1.1921824104234529</c:v>
                </c:pt>
                <c:pt idx="31">
                  <c:v>1.1921824104234529</c:v>
                </c:pt>
                <c:pt idx="32">
                  <c:v>1.1921824104234529</c:v>
                </c:pt>
                <c:pt idx="33">
                  <c:v>1.0925373134328358</c:v>
                </c:pt>
                <c:pt idx="34">
                  <c:v>1.0925373134328358</c:v>
                </c:pt>
                <c:pt idx="35">
                  <c:v>1.0925373134328358</c:v>
                </c:pt>
                <c:pt idx="36">
                  <c:v>1.0457142857142858</c:v>
                </c:pt>
                <c:pt idx="37">
                  <c:v>1.0457142857142858</c:v>
                </c:pt>
                <c:pt idx="38">
                  <c:v>1.0457142857142858</c:v>
                </c:pt>
                <c:pt idx="39">
                  <c:v>1.0252100840336134</c:v>
                </c:pt>
                <c:pt idx="40">
                  <c:v>1.0252100840336134</c:v>
                </c:pt>
                <c:pt idx="41">
                  <c:v>1.0252100840336134</c:v>
                </c:pt>
                <c:pt idx="42">
                  <c:v>1.0252100840336134</c:v>
                </c:pt>
                <c:pt idx="43">
                  <c:v>1.0223463687150838</c:v>
                </c:pt>
                <c:pt idx="44">
                  <c:v>1.0223463687150838</c:v>
                </c:pt>
                <c:pt idx="45">
                  <c:v>1.0223463687150838</c:v>
                </c:pt>
                <c:pt idx="46">
                  <c:v>1.0223463687150838</c:v>
                </c:pt>
                <c:pt idx="47">
                  <c:v>1.0223463687150838</c:v>
                </c:pt>
                <c:pt idx="48">
                  <c:v>1.0166666666666666</c:v>
                </c:pt>
                <c:pt idx="49">
                  <c:v>1.0166666666666666</c:v>
                </c:pt>
                <c:pt idx="50">
                  <c:v>1.0166666666666666</c:v>
                </c:pt>
                <c:pt idx="51">
                  <c:v>1.0054945054945055</c:v>
                </c:pt>
                <c:pt idx="52">
                  <c:v>1.0027397260273974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38-4037-B8CA-E85D1E681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582831"/>
        <c:axId val="1589584079"/>
      </c:scatterChart>
      <c:valAx>
        <c:axId val="1589582831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rgbClr val="EBEBEB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nl-NL" baseline="0"/>
                  <a:t>Maximum crack width (</a:t>
                </a:r>
                <a:r>
                  <a:rPr lang="nl-NL" i="1" baseline="0"/>
                  <a:t>w</a:t>
                </a:r>
                <a:r>
                  <a:rPr lang="nl-NL" baseline="-20000"/>
                  <a:t>max</a:t>
                </a:r>
                <a:r>
                  <a:rPr lang="nl-NL" baseline="0"/>
                  <a:t>) [</a:t>
                </a:r>
                <a:r>
                  <a:rPr lang="nl-NL" baseline="0">
                    <a:latin typeface="Arial" panose="020B0604020202020204" pitchFamily="34" charset="0"/>
                    <a:cs typeface="Arial" panose="020B0604020202020204" pitchFamily="34" charset="0"/>
                  </a:rPr>
                  <a:t>mm]</a:t>
                </a:r>
                <a:endParaRPr lang="nl-NL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  <a:tailEnd type="arrow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89584079"/>
        <c:crosses val="autoZero"/>
        <c:crossBetween val="midCat"/>
        <c:majorUnit val="0.5"/>
      </c:valAx>
      <c:valAx>
        <c:axId val="1589584079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rgbClr val="EBEBE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nl-NL" sz="900" b="0" i="0" u="none" strike="noStrike" baseline="0">
                    <a:effectLst/>
                  </a:rPr>
                  <a:t>Ratio (</a:t>
                </a:r>
                <a:r>
                  <a:rPr lang="nl-NL" sz="900" b="0" i="1" u="none" strike="noStrike" baseline="0">
                    <a:effectLst/>
                  </a:rPr>
                  <a:t>V</a:t>
                </a:r>
                <a:r>
                  <a:rPr lang="nl-NL" sz="900" b="0" i="0" u="none" strike="noStrike" baseline="-25000">
                    <a:effectLst/>
                  </a:rPr>
                  <a:t>u</a:t>
                </a:r>
                <a:r>
                  <a:rPr lang="nl-NL" sz="900" b="0" i="0" u="none" strike="noStrike" baseline="0">
                    <a:effectLst/>
                  </a:rPr>
                  <a:t> /</a:t>
                </a:r>
                <a:r>
                  <a:rPr lang="nl-NL" sz="900" b="0" i="1" u="none" strike="noStrike" baseline="0">
                    <a:effectLst/>
                  </a:rPr>
                  <a:t>V</a:t>
                </a:r>
                <a:r>
                  <a:rPr lang="nl-NL" baseline="0"/>
                  <a:t>) [-]</a:t>
                </a:r>
                <a:endParaRPr lang="nl-NL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  <a:tailEnd type="arrow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8958283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063296047725578"/>
          <c:y val="4.8846153846153845E-2"/>
          <c:w val="0.24393810589112602"/>
          <c:h val="0.3799145299145299"/>
        </c:manualLayout>
      </c:layout>
      <c:overlay val="1"/>
      <c:spPr>
        <a:solidFill>
          <a:srgbClr val="FFFFFF"/>
        </a:solidFill>
        <a:ln>
          <a:solidFill>
            <a:srgbClr val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solidFill>
            <a:srgbClr val="000000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18493661446682"/>
          <c:y val="5.0925925925925923E-2"/>
          <c:w val="0.66289485458612973"/>
          <c:h val="0.77946367521367521"/>
        </c:manualLayout>
      </c:layout>
      <c:scatterChart>
        <c:scatterStyle val="lineMarker"/>
        <c:varyColors val="0"/>
        <c:ser>
          <c:idx val="0"/>
          <c:order val="0"/>
          <c:tx>
            <c:v>Mean data</c:v>
          </c:tx>
          <c:spPr>
            <a:ln w="158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w_max!$A$2:$A$51</c:f>
              <c:numCache>
                <c:formatCode>General</c:formatCode>
                <c:ptCount val="5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</c:numCache>
            </c:numRef>
          </c:xVal>
          <c:yVal>
            <c:numRef>
              <c:f>w_max!$G$2:$G$51</c:f>
              <c:numCache>
                <c:formatCode>General</c:formatCode>
                <c:ptCount val="50"/>
                <c:pt idx="0">
                  <c:v>3.1491755353379531</c:v>
                </c:pt>
                <c:pt idx="1">
                  <c:v>2.6594753202363708</c:v>
                </c:pt>
                <c:pt idx="2">
                  <c:v>2.1336804620889867</c:v>
                </c:pt>
                <c:pt idx="3">
                  <c:v>1.8587765356130752</c:v>
                </c:pt>
                <c:pt idx="4">
                  <c:v>1.8368611532816579</c:v>
                </c:pt>
                <c:pt idx="5">
                  <c:v>1.815728503418119</c:v>
                </c:pt>
                <c:pt idx="6">
                  <c:v>1.8112372068787619</c:v>
                </c:pt>
                <c:pt idx="7">
                  <c:v>1.808161850365948</c:v>
                </c:pt>
                <c:pt idx="8">
                  <c:v>1.7928244910105025</c:v>
                </c:pt>
                <c:pt idx="9">
                  <c:v>1.7605966983668719</c:v>
                </c:pt>
                <c:pt idx="10">
                  <c:v>1.7350155366862723</c:v>
                </c:pt>
                <c:pt idx="11">
                  <c:v>1.7248741548889739</c:v>
                </c:pt>
                <c:pt idx="12">
                  <c:v>1.6789974589603709</c:v>
                </c:pt>
                <c:pt idx="13">
                  <c:v>1.6449326869424101</c:v>
                </c:pt>
                <c:pt idx="14">
                  <c:v>1.6060078388676384</c:v>
                </c:pt>
                <c:pt idx="15">
                  <c:v>1.5609702964204319</c:v>
                </c:pt>
                <c:pt idx="16">
                  <c:v>1.5371976207076317</c:v>
                </c:pt>
                <c:pt idx="17">
                  <c:v>1.5260854605123544</c:v>
                </c:pt>
                <c:pt idx="18">
                  <c:v>1.5080199904918106</c:v>
                </c:pt>
                <c:pt idx="19">
                  <c:v>1.4810160936193895</c:v>
                </c:pt>
                <c:pt idx="20">
                  <c:v>1.4526508739502404</c:v>
                </c:pt>
                <c:pt idx="21">
                  <c:v>1.4352462623868869</c:v>
                </c:pt>
                <c:pt idx="22">
                  <c:v>1.4199491691301085</c:v>
                </c:pt>
                <c:pt idx="23">
                  <c:v>1.3692235664488788</c:v>
                </c:pt>
                <c:pt idx="24">
                  <c:v>1.3392834482719393</c:v>
                </c:pt>
                <c:pt idx="25">
                  <c:v>1.3185530024258871</c:v>
                </c:pt>
                <c:pt idx="26">
                  <c:v>1.3046019009038505</c:v>
                </c:pt>
                <c:pt idx="27">
                  <c:v>1.2926388617304674</c:v>
                </c:pt>
                <c:pt idx="28">
                  <c:v>1.2640104486974912</c:v>
                </c:pt>
                <c:pt idx="29">
                  <c:v>1.2396074717294137</c:v>
                </c:pt>
                <c:pt idx="30">
                  <c:v>1.2157893427288442</c:v>
                </c:pt>
                <c:pt idx="31">
                  <c:v>1.1960676336911262</c:v>
                </c:pt>
                <c:pt idx="32">
                  <c:v>1.1802501233158691</c:v>
                </c:pt>
                <c:pt idx="33">
                  <c:v>1.1564259663415064</c:v>
                </c:pt>
                <c:pt idx="34">
                  <c:v>1.1405400245107669</c:v>
                </c:pt>
                <c:pt idx="35">
                  <c:v>1.1248405593979061</c:v>
                </c:pt>
                <c:pt idx="36">
                  <c:v>1.0957130293347996</c:v>
                </c:pt>
                <c:pt idx="37">
                  <c:v>1.0724886507737337</c:v>
                </c:pt>
                <c:pt idx="38">
                  <c:v>1.0587417393698249</c:v>
                </c:pt>
                <c:pt idx="39">
                  <c:v>1.0495079405143637</c:v>
                </c:pt>
                <c:pt idx="40">
                  <c:v>1.0426376260224095</c:v>
                </c:pt>
                <c:pt idx="41">
                  <c:v>1.0216842824568642</c:v>
                </c:pt>
                <c:pt idx="42">
                  <c:v>1.0158572348906598</c:v>
                </c:pt>
                <c:pt idx="43">
                  <c:v>1.0113527926645673</c:v>
                </c:pt>
                <c:pt idx="44">
                  <c:v>1.0081920223574805</c:v>
                </c:pt>
                <c:pt idx="45">
                  <c:v>1.0061579408522097</c:v>
                </c:pt>
                <c:pt idx="46">
                  <c:v>1.0051203260679404</c:v>
                </c:pt>
                <c:pt idx="47">
                  <c:v>1.005050505050505</c:v>
                </c:pt>
                <c:pt idx="48">
                  <c:v>1.0007150563332197</c:v>
                </c:pt>
                <c:pt idx="49">
                  <c:v>1.0000322294298396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8-4668-9738-FB9BCAFAD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107936"/>
        <c:axId val="1438408960"/>
      </c:scatterChart>
      <c:scatterChart>
        <c:scatterStyle val="lineMarker"/>
        <c:varyColors val="0"/>
        <c:ser>
          <c:idx val="1"/>
          <c:order val="1"/>
          <c:tx>
            <c:v>Stddev. data</c:v>
          </c:tx>
          <c:spPr>
            <a:ln w="158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w_max!$A$2:$A$51</c:f>
              <c:numCache>
                <c:formatCode>General</c:formatCode>
                <c:ptCount val="5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</c:numCache>
            </c:numRef>
          </c:xVal>
          <c:yVal>
            <c:numRef>
              <c:f>w_max!$H$2:$H$51</c:f>
              <c:numCache>
                <c:formatCode>General</c:formatCode>
                <c:ptCount val="50"/>
                <c:pt idx="0">
                  <c:v>1.0668991677882271</c:v>
                </c:pt>
                <c:pt idx="1">
                  <c:v>0.90118207630769676</c:v>
                </c:pt>
                <c:pt idx="2">
                  <c:v>0.49684018929095525</c:v>
                </c:pt>
                <c:pt idx="3">
                  <c:v>0.25346384270607047</c:v>
                </c:pt>
                <c:pt idx="4">
                  <c:v>0.23450003257982407</c:v>
                </c:pt>
                <c:pt idx="5">
                  <c:v>0.2217691332150917</c:v>
                </c:pt>
                <c:pt idx="6">
                  <c:v>0.2194131169994516</c:v>
                </c:pt>
                <c:pt idx="7">
                  <c:v>0.2177252579458438</c:v>
                </c:pt>
                <c:pt idx="8">
                  <c:v>0.22136684482375499</c:v>
                </c:pt>
                <c:pt idx="9">
                  <c:v>0.24397935120401176</c:v>
                </c:pt>
                <c:pt idx="10">
                  <c:v>0.27005110002711835</c:v>
                </c:pt>
                <c:pt idx="11">
                  <c:v>0.27648356219317471</c:v>
                </c:pt>
                <c:pt idx="12">
                  <c:v>0.30259609381123731</c:v>
                </c:pt>
                <c:pt idx="13">
                  <c:v>0.33424484964406542</c:v>
                </c:pt>
                <c:pt idx="14">
                  <c:v>0.31715623096110979</c:v>
                </c:pt>
                <c:pt idx="15">
                  <c:v>0.37603007521830645</c:v>
                </c:pt>
                <c:pt idx="16">
                  <c:v>0.35471852019684136</c:v>
                </c:pt>
                <c:pt idx="17">
                  <c:v>0.35133702163145103</c:v>
                </c:pt>
                <c:pt idx="18">
                  <c:v>0.33814654649796344</c:v>
                </c:pt>
                <c:pt idx="19">
                  <c:v>0.31495681400741565</c:v>
                </c:pt>
                <c:pt idx="20">
                  <c:v>0.29570783105588788</c:v>
                </c:pt>
                <c:pt idx="21">
                  <c:v>0.28972141456652328</c:v>
                </c:pt>
                <c:pt idx="22">
                  <c:v>0.28334694191056536</c:v>
                </c:pt>
                <c:pt idx="23">
                  <c:v>0.22588970291733834</c:v>
                </c:pt>
                <c:pt idx="24">
                  <c:v>0.20220697419954242</c:v>
                </c:pt>
                <c:pt idx="25">
                  <c:v>0.18934510972311269</c:v>
                </c:pt>
                <c:pt idx="26">
                  <c:v>0.18385866746833782</c:v>
                </c:pt>
                <c:pt idx="27">
                  <c:v>0.18039758238483383</c:v>
                </c:pt>
                <c:pt idx="28">
                  <c:v>0.16434417562528764</c:v>
                </c:pt>
                <c:pt idx="29">
                  <c:v>0.1551867908834963</c:v>
                </c:pt>
                <c:pt idx="30">
                  <c:v>0.15911172538076024</c:v>
                </c:pt>
                <c:pt idx="31">
                  <c:v>0.14307603122357102</c:v>
                </c:pt>
                <c:pt idx="32">
                  <c:v>0.13451117895455628</c:v>
                </c:pt>
                <c:pt idx="33">
                  <c:v>0.11724451749327418</c:v>
                </c:pt>
                <c:pt idx="34">
                  <c:v>0.11682013150844058</c:v>
                </c:pt>
                <c:pt idx="35">
                  <c:v>0.11130464229834673</c:v>
                </c:pt>
                <c:pt idx="36">
                  <c:v>9.4831225106981373E-2</c:v>
                </c:pt>
                <c:pt idx="37">
                  <c:v>7.9430367120576301E-2</c:v>
                </c:pt>
                <c:pt idx="38">
                  <c:v>8.0435443860724154E-2</c:v>
                </c:pt>
                <c:pt idx="39">
                  <c:v>6.7830176992593819E-2</c:v>
                </c:pt>
                <c:pt idx="40">
                  <c:v>5.83847644902004E-2</c:v>
                </c:pt>
                <c:pt idx="41">
                  <c:v>3.4386688969509957E-2</c:v>
                </c:pt>
                <c:pt idx="42">
                  <c:v>2.8961751815593448E-2</c:v>
                </c:pt>
                <c:pt idx="43">
                  <c:v>1.9161371777933454E-2</c:v>
                </c:pt>
                <c:pt idx="44">
                  <c:v>1.6730278352025774E-2</c:v>
                </c:pt>
                <c:pt idx="45">
                  <c:v>1.2873697020000505E-2</c:v>
                </c:pt>
                <c:pt idx="46">
                  <c:v>1.125525666945418E-2</c:v>
                </c:pt>
                <c:pt idx="47">
                  <c:v>1.1293272613635325E-2</c:v>
                </c:pt>
                <c:pt idx="48">
                  <c:v>1.5989145688206157E-3</c:v>
                </c:pt>
                <c:pt idx="49">
                  <c:v>7.2067195997214037E-5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F8-4668-9738-FB9BCAFAD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935600"/>
        <c:axId val="971958160"/>
      </c:scatterChart>
      <c:valAx>
        <c:axId val="1640107936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rgbClr val="EBEBEB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nl-NL"/>
                  <a:t>Maximum</a:t>
                </a:r>
                <a:r>
                  <a:rPr lang="nl-NL" baseline="0"/>
                  <a:t> </a:t>
                </a:r>
                <a:r>
                  <a:rPr lang="nl-NL"/>
                  <a:t>crack width (</a:t>
                </a:r>
                <a:r>
                  <a:rPr lang="nl-NL" i="1"/>
                  <a:t>w</a:t>
                </a:r>
                <a:r>
                  <a:rPr lang="nl-NL" baseline="-20000"/>
                  <a:t>max</a:t>
                </a:r>
                <a:r>
                  <a:rPr lang="nl-NL"/>
                  <a:t>) [mm]</a:t>
                </a:r>
              </a:p>
            </c:rich>
          </c:tx>
          <c:layout>
            <c:manualLayout>
              <c:xMode val="edge"/>
              <c:yMode val="edge"/>
              <c:x val="0.13777330350484715"/>
              <c:y val="0.922546153846153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  <a:tailEnd type="arrow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38408960"/>
        <c:crosses val="autoZero"/>
        <c:crossBetween val="midCat"/>
        <c:majorUnit val="0.5"/>
      </c:valAx>
      <c:valAx>
        <c:axId val="1438408960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rgbClr val="EBEBE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nl-NL"/>
                  <a:t>Mean ratio (</a:t>
                </a:r>
                <a:r>
                  <a:rPr lang="nl-NL" i="1"/>
                  <a:t>m</a:t>
                </a:r>
                <a:r>
                  <a:rPr lang="nl-NL" i="1" baseline="-20000"/>
                  <a:t>V</a:t>
                </a:r>
                <a:r>
                  <a:rPr lang="nl-NL" baseline="-30000"/>
                  <a:t>u</a:t>
                </a:r>
                <a:r>
                  <a:rPr lang="nl-NL" baseline="-20000"/>
                  <a:t>/</a:t>
                </a:r>
                <a:r>
                  <a:rPr lang="nl-NL" i="1" baseline="-20000"/>
                  <a:t>V</a:t>
                </a:r>
                <a:r>
                  <a:rPr lang="nl-NL"/>
                  <a:t>)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  <a:tailEnd type="arrow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40107936"/>
        <c:crosses val="autoZero"/>
        <c:crossBetween val="midCat"/>
      </c:valAx>
      <c:valAx>
        <c:axId val="971958160"/>
        <c:scaling>
          <c:orientation val="minMax"/>
          <c:max val="0.60000000000000009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nl-NL"/>
                  <a:t>Std. deviation ratio (</a:t>
                </a:r>
                <a:r>
                  <a:rPr lang="nl-NL" i="1"/>
                  <a:t>s</a:t>
                </a:r>
                <a:r>
                  <a:rPr lang="nl-NL" i="1" baseline="-20000"/>
                  <a:t>V</a:t>
                </a:r>
                <a:r>
                  <a:rPr lang="nl-NL" i="0" baseline="-30000"/>
                  <a:t>u</a:t>
                </a:r>
                <a:r>
                  <a:rPr lang="nl-NL" baseline="-20000"/>
                  <a:t>/</a:t>
                </a:r>
                <a:r>
                  <a:rPr lang="nl-NL" i="1" baseline="-20000"/>
                  <a:t>V</a:t>
                </a:r>
                <a:r>
                  <a:rPr lang="nl-NL"/>
                  <a:t>)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971935600"/>
        <c:crosses val="max"/>
        <c:crossBetween val="midCat"/>
        <c:majorUnit val="0.1"/>
      </c:valAx>
      <c:valAx>
        <c:axId val="9719356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1958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40520096942580164"/>
          <c:y val="6.1780769230769229E-2"/>
          <c:w val="0.40020246085011185"/>
          <c:h val="0.15196581196581196"/>
        </c:manualLayout>
      </c:layout>
      <c:overlay val="1"/>
      <c:spPr>
        <a:solidFill>
          <a:srgbClr val="FFFFFF"/>
        </a:solidFill>
        <a:ln>
          <a:solidFill>
            <a:srgbClr val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solidFill>
            <a:srgbClr val="000000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18493661446682"/>
          <c:y val="5.0925925925925923E-2"/>
          <c:w val="0.66289485458612973"/>
          <c:h val="0.7794636752136752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w_max_w!$G$1</c:f>
              <c:strCache>
                <c:ptCount val="1"/>
                <c:pt idx="0">
                  <c:v>Mean data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w_max_w!$A$2:$A$62</c:f>
              <c:numCache>
                <c:formatCode>General</c:formatCode>
                <c:ptCount val="6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</c:numCache>
            </c:numRef>
          </c:xVal>
          <c:yVal>
            <c:numRef>
              <c:f>w_max_w!$G$2:$G$62</c:f>
              <c:numCache>
                <c:formatCode>0.000</c:formatCode>
                <c:ptCount val="61"/>
                <c:pt idx="0">
                  <c:v>6.5618519355999991</c:v>
                </c:pt>
                <c:pt idx="1">
                  <c:v>3.2396642755388094</c:v>
                </c:pt>
                <c:pt idx="2">
                  <c:v>2.6417073323920461</c:v>
                </c:pt>
                <c:pt idx="3">
                  <c:v>2.4058247374674044</c:v>
                </c:pt>
                <c:pt idx="4">
                  <c:v>1.9460584934331038</c:v>
                </c:pt>
                <c:pt idx="5">
                  <c:v>1.8136400146465008</c:v>
                </c:pt>
                <c:pt idx="6">
                  <c:v>1.808655456866306</c:v>
                </c:pt>
                <c:pt idx="7">
                  <c:v>1.8036708990861114</c:v>
                </c:pt>
                <c:pt idx="8">
                  <c:v>1.7986863413059169</c:v>
                </c:pt>
                <c:pt idx="9">
                  <c:v>1.7698571806077354</c:v>
                </c:pt>
                <c:pt idx="10">
                  <c:v>1.7468579661157186</c:v>
                </c:pt>
                <c:pt idx="11">
                  <c:v>1.6937362364532837</c:v>
                </c:pt>
                <c:pt idx="12">
                  <c:v>1.6425973632657354</c:v>
                </c:pt>
                <c:pt idx="13">
                  <c:v>1.6145170507820672</c:v>
                </c:pt>
                <c:pt idx="14">
                  <c:v>1.5823857424791201</c:v>
                </c:pt>
                <c:pt idx="15">
                  <c:v>1.5486052261315244</c:v>
                </c:pt>
                <c:pt idx="16">
                  <c:v>1.5130121230083924</c:v>
                </c:pt>
                <c:pt idx="17">
                  <c:v>1.4832947216569166</c:v>
                </c:pt>
                <c:pt idx="18">
                  <c:v>1.4286300369139027</c:v>
                </c:pt>
                <c:pt idx="19">
                  <c:v>1.4016808439282573</c:v>
                </c:pt>
                <c:pt idx="20">
                  <c:v>1.3426443625502862</c:v>
                </c:pt>
                <c:pt idx="21">
                  <c:v>1.3258256996203621</c:v>
                </c:pt>
                <c:pt idx="22">
                  <c:v>1.2829912768407949</c:v>
                </c:pt>
                <c:pt idx="23">
                  <c:v>1.256207443881191</c:v>
                </c:pt>
                <c:pt idx="24">
                  <c:v>1.222158890331263</c:v>
                </c:pt>
                <c:pt idx="25">
                  <c:v>1.2089565223193461</c:v>
                </c:pt>
                <c:pt idx="26">
                  <c:v>1.1960699738409495</c:v>
                </c:pt>
                <c:pt idx="27">
                  <c:v>1.161569635561112</c:v>
                </c:pt>
                <c:pt idx="28">
                  <c:v>1.1286576740114849</c:v>
                </c:pt>
                <c:pt idx="29">
                  <c:v>1.1108899934585073</c:v>
                </c:pt>
                <c:pt idx="30">
                  <c:v>1.0882819920234403</c:v>
                </c:pt>
                <c:pt idx="31">
                  <c:v>1.0700824339967794</c:v>
                </c:pt>
                <c:pt idx="32">
                  <c:v>1.0564599227146874</c:v>
                </c:pt>
                <c:pt idx="33">
                  <c:v>1.0502938756730369</c:v>
                </c:pt>
                <c:pt idx="34">
                  <c:v>1.0429786825488985</c:v>
                </c:pt>
                <c:pt idx="35">
                  <c:v>1.0359639342365867</c:v>
                </c:pt>
                <c:pt idx="36">
                  <c:v>1.027545688115356</c:v>
                </c:pt>
                <c:pt idx="37">
                  <c:v>1.0228801762405184</c:v>
                </c:pt>
                <c:pt idx="38">
                  <c:v>1.0212328767437417</c:v>
                </c:pt>
                <c:pt idx="39">
                  <c:v>1.0212328767437417</c:v>
                </c:pt>
                <c:pt idx="40">
                  <c:v>1.0212328767437417</c:v>
                </c:pt>
                <c:pt idx="41">
                  <c:v>1.0212328767437417</c:v>
                </c:pt>
                <c:pt idx="42">
                  <c:v>1.0212328767437417</c:v>
                </c:pt>
                <c:pt idx="43">
                  <c:v>1.0212328767437417</c:v>
                </c:pt>
                <c:pt idx="44">
                  <c:v>1.0212328767437417</c:v>
                </c:pt>
                <c:pt idx="45">
                  <c:v>1.0212328767437417</c:v>
                </c:pt>
                <c:pt idx="46">
                  <c:v>1.0171889556751101</c:v>
                </c:pt>
                <c:pt idx="47">
                  <c:v>1.0129919494070871</c:v>
                </c:pt>
                <c:pt idx="48">
                  <c:v>1.0063352468211753</c:v>
                </c:pt>
                <c:pt idx="49">
                  <c:v>1.0058163691092308</c:v>
                </c:pt>
                <c:pt idx="50">
                  <c:v>1.0025078369939917</c:v>
                </c:pt>
                <c:pt idx="51">
                  <c:v>1.0025078369939917</c:v>
                </c:pt>
                <c:pt idx="52">
                  <c:v>1.0006211180132556</c:v>
                </c:pt>
                <c:pt idx="53">
                  <c:v>1.0004780922417051</c:v>
                </c:pt>
                <c:pt idx="54">
                  <c:v>1.0002572782134087</c:v>
                </c:pt>
                <c:pt idx="55">
                  <c:v>1.0000364641851125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F3-46B0-9CE7-497C106F63E4}"/>
            </c:ext>
          </c:extLst>
        </c:ser>
        <c:ser>
          <c:idx val="3"/>
          <c:order val="1"/>
          <c:tx>
            <c:strRef>
              <c:f>w_max_w!$H$1</c:f>
              <c:strCache>
                <c:ptCount val="1"/>
                <c:pt idx="0">
                  <c:v>Mean model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w_max_w!$A$2:$A$62</c:f>
              <c:numCache>
                <c:formatCode>General</c:formatCode>
                <c:ptCount val="6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</c:numCache>
            </c:numRef>
          </c:xVal>
          <c:yVal>
            <c:numRef>
              <c:f>w_max_w!$H$2:$H$62</c:f>
              <c:numCache>
                <c:formatCode>General</c:formatCode>
                <c:ptCount val="61"/>
                <c:pt idx="0">
                  <c:v>2.38</c:v>
                </c:pt>
                <c:pt idx="1">
                  <c:v>2.2926468003763731</c:v>
                </c:pt>
                <c:pt idx="2">
                  <c:v>2.2103806550757361</c:v>
                </c:pt>
                <c:pt idx="3">
                  <c:v>2.1329053171169079</c:v>
                </c:pt>
                <c:pt idx="4">
                  <c:v>2.0599417915998304</c:v>
                </c:pt>
                <c:pt idx="5">
                  <c:v>1.9912273310225768</c:v>
                </c:pt>
                <c:pt idx="6">
                  <c:v>1.9265144891065464</c:v>
                </c:pt>
                <c:pt idx="7">
                  <c:v>1.8655702297225851</c:v>
                </c:pt>
                <c:pt idx="8">
                  <c:v>1.8081750877092113</c:v>
                </c:pt>
                <c:pt idx="9">
                  <c:v>1.7541223785609845</c:v>
                </c:pt>
                <c:pt idx="10">
                  <c:v>1.7032174541410394</c:v>
                </c:pt>
                <c:pt idx="11">
                  <c:v>1.6552770017375487</c:v>
                </c:pt>
                <c:pt idx="12">
                  <c:v>1.6101283839399576</c:v>
                </c:pt>
                <c:pt idx="13">
                  <c:v>1.5676090169578352</c:v>
                </c:pt>
                <c:pt idx="14">
                  <c:v>1.5275657851436195</c:v>
                </c:pt>
                <c:pt idx="15">
                  <c:v>1.4898544896108987</c:v>
                </c:pt>
                <c:pt idx="16">
                  <c:v>1.4543393289626683</c:v>
                </c:pt>
                <c:pt idx="17">
                  <c:v>1.4208924102596174</c:v>
                </c:pt>
                <c:pt idx="18">
                  <c:v>1.3893932884674087</c:v>
                </c:pt>
                <c:pt idx="19">
                  <c:v>1.3597285327244557</c:v>
                </c:pt>
                <c:pt idx="20">
                  <c:v>1.3317913178683032</c:v>
                </c:pt>
                <c:pt idx="21">
                  <c:v>1.3054810397496555</c:v>
                </c:pt>
                <c:pt idx="22">
                  <c:v>1.2807029529487755</c:v>
                </c:pt>
                <c:pt idx="23">
                  <c:v>1.2573678295896347</c:v>
                </c:pt>
                <c:pt idx="24">
                  <c:v>1.2353916380231826</c:v>
                </c:pt>
                <c:pt idx="25">
                  <c:v>1.2146952402226447</c:v>
                </c:pt>
                <c:pt idx="26">
                  <c:v>1.195204106801147</c:v>
                </c:pt>
                <c:pt idx="27">
                  <c:v>1.176848048625422</c:v>
                </c:pt>
                <c:pt idx="28">
                  <c:v>1.1595609640591149</c:v>
                </c:pt>
                <c:pt idx="29">
                  <c:v>1.1432806009254954</c:v>
                </c:pt>
                <c:pt idx="30">
                  <c:v>1.1279483323323798</c:v>
                </c:pt>
                <c:pt idx="31">
                  <c:v>1.113508945551996</c:v>
                </c:pt>
                <c:pt idx="32">
                  <c:v>1.0999104431955251</c:v>
                </c:pt>
                <c:pt idx="33">
                  <c:v>1.0871038559663393</c:v>
                </c:pt>
                <c:pt idx="34">
                  <c:v>1.0750430663176389</c:v>
                </c:pt>
                <c:pt idx="35">
                  <c:v>1.063684642379473</c:v>
                </c:pt>
                <c:pt idx="36">
                  <c:v>1.0529876815570938</c:v>
                </c:pt>
                <c:pt idx="37">
                  <c:v>1.0429136632374369</c:v>
                </c:pt>
                <c:pt idx="38">
                  <c:v>1.0334263100733061</c:v>
                </c:pt>
                <c:pt idx="39">
                  <c:v>1.0244914573457395</c:v>
                </c:pt>
                <c:pt idx="40">
                  <c:v>1.0160769299341188</c:v>
                </c:pt>
                <c:pt idx="41">
                  <c:v>1.0081524264509818</c:v>
                </c:pt>
                <c:pt idx="42">
                  <c:v>1.0006894101242987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F3-46B0-9CE7-497C106F6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107936"/>
        <c:axId val="1438408960"/>
      </c:scatterChart>
      <c:scatterChart>
        <c:scatterStyle val="smoothMarker"/>
        <c:varyColors val="0"/>
        <c:ser>
          <c:idx val="1"/>
          <c:order val="2"/>
          <c:tx>
            <c:strRef>
              <c:f>w_max_w!$I$1</c:f>
              <c:strCache>
                <c:ptCount val="1"/>
                <c:pt idx="0">
                  <c:v>Stddev. data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w_max_w!$A$2:$A$62</c:f>
              <c:numCache>
                <c:formatCode>General</c:formatCode>
                <c:ptCount val="6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</c:numCache>
            </c:numRef>
          </c:xVal>
          <c:yVal>
            <c:numRef>
              <c:f>w_max_w!$I$2:$I$62</c:f>
              <c:numCache>
                <c:formatCode>General</c:formatCode>
                <c:ptCount val="61"/>
                <c:pt idx="0">
                  <c:v>1.2293240751433501</c:v>
                </c:pt>
                <c:pt idx="1">
                  <c:v>1.380934085409502</c:v>
                </c:pt>
                <c:pt idx="2">
                  <c:v>0.91327996432061409</c:v>
                </c:pt>
                <c:pt idx="3">
                  <c:v>0.9668843159013949</c:v>
                </c:pt>
                <c:pt idx="4">
                  <c:v>0.2892059412231639</c:v>
                </c:pt>
                <c:pt idx="5">
                  <c:v>0.21833399608759563</c:v>
                </c:pt>
                <c:pt idx="6">
                  <c:v>0.21638913148315869</c:v>
                </c:pt>
                <c:pt idx="7">
                  <c:v>0.21465861943697159</c:v>
                </c:pt>
                <c:pt idx="8">
                  <c:v>0.21314768089573877</c:v>
                </c:pt>
                <c:pt idx="9">
                  <c:v>0.23626560127160759</c:v>
                </c:pt>
                <c:pt idx="10">
                  <c:v>0.2394357291332507</c:v>
                </c:pt>
                <c:pt idx="11">
                  <c:v>0.21478740112753952</c:v>
                </c:pt>
                <c:pt idx="12">
                  <c:v>0.24516445725951205</c:v>
                </c:pt>
                <c:pt idx="13">
                  <c:v>0.22345156263693156</c:v>
                </c:pt>
                <c:pt idx="14">
                  <c:v>0.21408793074857266</c:v>
                </c:pt>
                <c:pt idx="15">
                  <c:v>0.20393631326827305</c:v>
                </c:pt>
                <c:pt idx="16">
                  <c:v>0.22740258503661648</c:v>
                </c:pt>
                <c:pt idx="17">
                  <c:v>0.22306590654633363</c:v>
                </c:pt>
                <c:pt idx="18">
                  <c:v>0.16913175197701885</c:v>
                </c:pt>
                <c:pt idx="19">
                  <c:v>0.14908010908735522</c:v>
                </c:pt>
                <c:pt idx="20">
                  <c:v>0.20212359825424875</c:v>
                </c:pt>
                <c:pt idx="21">
                  <c:v>0.19301512255155592</c:v>
                </c:pt>
                <c:pt idx="22">
                  <c:v>0.16772790033092219</c:v>
                </c:pt>
                <c:pt idx="23">
                  <c:v>0.15524879287494237</c:v>
                </c:pt>
                <c:pt idx="24">
                  <c:v>0.15296244097991216</c:v>
                </c:pt>
                <c:pt idx="25">
                  <c:v>0.14985240956470064</c:v>
                </c:pt>
                <c:pt idx="26">
                  <c:v>0.14884614415648037</c:v>
                </c:pt>
                <c:pt idx="27">
                  <c:v>0.12763672884590208</c:v>
                </c:pt>
                <c:pt idx="28">
                  <c:v>9.9355023285914723E-2</c:v>
                </c:pt>
                <c:pt idx="29">
                  <c:v>0.10394383593873857</c:v>
                </c:pt>
                <c:pt idx="30">
                  <c:v>9.8372246999266513E-2</c:v>
                </c:pt>
                <c:pt idx="31">
                  <c:v>8.5038022540580335E-2</c:v>
                </c:pt>
                <c:pt idx="32">
                  <c:v>7.8280041589717173E-2</c:v>
                </c:pt>
                <c:pt idx="33">
                  <c:v>7.0908024721737128E-2</c:v>
                </c:pt>
                <c:pt idx="34">
                  <c:v>6.4517805716170801E-2</c:v>
                </c:pt>
                <c:pt idx="35">
                  <c:v>5.3365911121484755E-2</c:v>
                </c:pt>
                <c:pt idx="36">
                  <c:v>5.1357529131114348E-2</c:v>
                </c:pt>
                <c:pt idx="37">
                  <c:v>4.8955386071680491E-2</c:v>
                </c:pt>
                <c:pt idx="38">
                  <c:v>4.7478155756881121E-2</c:v>
                </c:pt>
                <c:pt idx="39">
                  <c:v>4.7478155756881121E-2</c:v>
                </c:pt>
                <c:pt idx="40">
                  <c:v>4.7478155756881121E-2</c:v>
                </c:pt>
                <c:pt idx="41">
                  <c:v>4.7478155756881121E-2</c:v>
                </c:pt>
                <c:pt idx="42">
                  <c:v>4.7478155756881121E-2</c:v>
                </c:pt>
                <c:pt idx="43">
                  <c:v>4.7478155756881121E-2</c:v>
                </c:pt>
                <c:pt idx="44">
                  <c:v>4.7478155756881121E-2</c:v>
                </c:pt>
                <c:pt idx="45">
                  <c:v>4.7478155756881121E-2</c:v>
                </c:pt>
                <c:pt idx="46">
                  <c:v>3.8435673351777062E-2</c:v>
                </c:pt>
                <c:pt idx="47">
                  <c:v>2.9050882034485342E-2</c:v>
                </c:pt>
                <c:pt idx="48">
                  <c:v>1.4166042546387326E-2</c:v>
                </c:pt>
                <c:pt idx="49">
                  <c:v>1.3005796710470021E-2</c:v>
                </c:pt>
                <c:pt idx="50">
                  <c:v>5.6076939950543891E-3</c:v>
                </c:pt>
                <c:pt idx="51">
                  <c:v>5.6076939950543891E-3</c:v>
                </c:pt>
                <c:pt idx="52">
                  <c:v>1.3888620996893243E-3</c:v>
                </c:pt>
                <c:pt idx="53">
                  <c:v>1.0690467519677575E-3</c:v>
                </c:pt>
                <c:pt idx="54">
                  <c:v>5.7529157431176548E-4</c:v>
                </c:pt>
                <c:pt idx="55">
                  <c:v>8.1536396655674005E-5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F3-46B0-9CE7-497C106F63E4}"/>
            </c:ext>
          </c:extLst>
        </c:ser>
        <c:ser>
          <c:idx val="2"/>
          <c:order val="3"/>
          <c:tx>
            <c:strRef>
              <c:f>w_max_w!$J$1</c:f>
              <c:strCache>
                <c:ptCount val="1"/>
                <c:pt idx="0">
                  <c:v>Stddev. model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w_max_w!$A$2:$A$62</c:f>
              <c:numCache>
                <c:formatCode>General</c:formatCode>
                <c:ptCount val="6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</c:numCache>
            </c:numRef>
          </c:xVal>
          <c:yVal>
            <c:numRef>
              <c:f>w_max_w!$J$2:$J$62</c:f>
              <c:numCache>
                <c:formatCode>General</c:formatCode>
                <c:ptCount val="61"/>
                <c:pt idx="0">
                  <c:v>0.48000000000000004</c:v>
                </c:pt>
                <c:pt idx="1">
                  <c:v>0.45820098370341683</c:v>
                </c:pt>
                <c:pt idx="2">
                  <c:v>0.43729856573041609</c:v>
                </c:pt>
                <c:pt idx="3">
                  <c:v>0.41725586879521054</c:v>
                </c:pt>
                <c:pt idx="4">
                  <c:v>0.39803753238286915</c:v>
                </c:pt>
                <c:pt idx="5">
                  <c:v>0.37960965036419919</c:v>
                </c:pt>
                <c:pt idx="6">
                  <c:v>0.3619397111765415</c:v>
                </c:pt>
                <c:pt idx="7">
                  <c:v>0.34499654046494299</c:v>
                </c:pt>
                <c:pt idx="8">
                  <c:v>0.32875024608251036</c:v>
                </c:pt>
                <c:pt idx="9">
                  <c:v>0.31317216535291131</c:v>
                </c:pt>
                <c:pt idx="10">
                  <c:v>0.29823481450198008</c:v>
                </c:pt>
                <c:pt idx="11">
                  <c:v>0.2839118401692135</c:v>
                </c:pt>
                <c:pt idx="12">
                  <c:v>0.27017797291360829</c:v>
                </c:pt>
                <c:pt idx="13">
                  <c:v>0.25700898263181449</c:v>
                </c:pt>
                <c:pt idx="14">
                  <c:v>0.2443816358099497</c:v>
                </c:pt>
                <c:pt idx="15">
                  <c:v>0.2322736545336555</c:v>
                </c:pt>
                <c:pt idx="16">
                  <c:v>0.22066367718407959</c:v>
                </c:pt>
                <c:pt idx="17">
                  <c:v>0.20953122075044017</c:v>
                </c:pt>
                <c:pt idx="18">
                  <c:v>0.1988566446926836</c:v>
                </c:pt>
                <c:pt idx="19">
                  <c:v>0.18862111629047829</c:v>
                </c:pt>
                <c:pt idx="20">
                  <c:v>0.17880657741741224</c:v>
                </c:pt>
                <c:pt idx="21">
                  <c:v>0.16939571268177528</c:v>
                </c:pt>
                <c:pt idx="22">
                  <c:v>0.16037191887771773</c:v>
                </c:pt>
                <c:pt idx="23">
                  <c:v>0.15171927569288973</c:v>
                </c:pt>
                <c:pt idx="24">
                  <c:v>0.14342251762088171</c:v>
                </c:pt>
                <c:pt idx="25">
                  <c:v>0.13546700702891235</c:v>
                </c:pt>
                <c:pt idx="26">
                  <c:v>0.12783870833324862</c:v>
                </c:pt>
                <c:pt idx="27">
                  <c:v>0.12052416323679617</c:v>
                </c:pt>
                <c:pt idx="28">
                  <c:v>0.11351046698517329</c:v>
                </c:pt>
                <c:pt idx="29">
                  <c:v>0.10678524559937762</c:v>
                </c:pt>
                <c:pt idx="30">
                  <c:v>0.10033663404487832</c:v>
                </c:pt>
                <c:pt idx="31">
                  <c:v>9.4153255298618357E-2</c:v>
                </c:pt>
                <c:pt idx="32">
                  <c:v>8.8224200276995526E-2</c:v>
                </c:pt>
                <c:pt idx="33">
                  <c:v>8.2539008589409865E-2</c:v>
                </c:pt>
                <c:pt idx="34">
                  <c:v>7.7087650083422068E-2</c:v>
                </c:pt>
                <c:pt idx="35">
                  <c:v>7.1860507148963637E-2</c:v>
                </c:pt>
                <c:pt idx="36">
                  <c:v>6.6848357750378451E-2</c:v>
                </c:pt>
                <c:pt idx="37">
                  <c:v>6.2042359156360555E-2</c:v>
                </c:pt>
                <c:pt idx="38">
                  <c:v>5.7434032339082938E-2</c:v>
                </c:pt>
                <c:pt idx="39">
                  <c:v>5.3015247014993674E-2</c:v>
                </c:pt>
                <c:pt idx="40">
                  <c:v>4.8778207300887277E-2</c:v>
                </c:pt>
                <c:pt idx="41">
                  <c:v>4.4715437959945176E-2</c:v>
                </c:pt>
                <c:pt idx="42">
                  <c:v>4.0819771213479406E-2</c:v>
                </c:pt>
                <c:pt idx="43">
                  <c:v>3.7084334095112248E-2</c:v>
                </c:pt>
                <c:pt idx="44">
                  <c:v>3.3502536325081211E-2</c:v>
                </c:pt>
                <c:pt idx="45">
                  <c:v>3.0068058683276541E-2</c:v>
                </c:pt>
                <c:pt idx="46">
                  <c:v>2.6774841860498194E-2</c:v>
                </c:pt>
                <c:pt idx="47">
                  <c:v>2.3617075768263107E-2</c:v>
                </c:pt>
                <c:pt idx="48">
                  <c:v>2.0589189288302417E-2</c:v>
                </c:pt>
                <c:pt idx="49">
                  <c:v>1.7685840443664128E-2</c:v>
                </c:pt>
                <c:pt idx="50">
                  <c:v>1.4901906974080406E-2</c:v>
                </c:pt>
                <c:pt idx="51">
                  <c:v>1.2232477298972269E-2</c:v>
                </c:pt>
                <c:pt idx="52">
                  <c:v>9.6728418521476733E-3</c:v>
                </c:pt>
                <c:pt idx="53">
                  <c:v>7.2184847729054036E-3</c:v>
                </c:pt>
                <c:pt idx="54">
                  <c:v>4.8650759388858614E-3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F3-46B0-9CE7-497C106F6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315104"/>
        <c:axId val="1595298304"/>
      </c:scatterChart>
      <c:valAx>
        <c:axId val="1640107936"/>
        <c:scaling>
          <c:orientation val="minMax"/>
          <c:max val="1.2"/>
        </c:scaling>
        <c:delete val="0"/>
        <c:axPos val="b"/>
        <c:majorGridlines>
          <c:spPr>
            <a:ln w="9525" cap="flat" cmpd="sng" algn="ctr">
              <a:solidFill>
                <a:srgbClr val="EBEBEB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nl-NL"/>
                  <a:t>Max. weighted</a:t>
                </a:r>
                <a:r>
                  <a:rPr lang="nl-NL" baseline="0"/>
                  <a:t> crack width</a:t>
                </a:r>
                <a:r>
                  <a:rPr lang="nl-NL"/>
                  <a:t> (</a:t>
                </a:r>
                <a:r>
                  <a:rPr lang="nl-NL" i="1"/>
                  <a:t>w</a:t>
                </a:r>
                <a:r>
                  <a:rPr lang="nl-NL" baseline="-20000"/>
                  <a:t>max,w</a:t>
                </a:r>
                <a:r>
                  <a:rPr lang="nl-NL"/>
                  <a:t>) [mm]</a:t>
                </a:r>
              </a:p>
            </c:rich>
          </c:tx>
          <c:layout>
            <c:manualLayout>
              <c:xMode val="edge"/>
              <c:yMode val="edge"/>
              <c:x val="0.10936167039522744"/>
              <c:y val="0.922546153846153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  <a:tailEnd type="arrow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38408960"/>
        <c:crosses val="autoZero"/>
        <c:crossBetween val="midCat"/>
        <c:majorUnit val="0.2"/>
      </c:valAx>
      <c:valAx>
        <c:axId val="1438408960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rgbClr val="EBEBEB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nl-NL"/>
                  <a:t>Mean ratio (</a:t>
                </a:r>
                <a:r>
                  <a:rPr lang="nl-NL" i="1"/>
                  <a:t>m</a:t>
                </a:r>
                <a:r>
                  <a:rPr lang="nl-NL" i="1" baseline="-20000"/>
                  <a:t>V</a:t>
                </a:r>
                <a:r>
                  <a:rPr lang="nl-NL" baseline="-30000"/>
                  <a:t>u</a:t>
                </a:r>
                <a:r>
                  <a:rPr lang="nl-NL" baseline="-20000"/>
                  <a:t>/</a:t>
                </a:r>
                <a:r>
                  <a:rPr lang="nl-NL" i="1" baseline="-20000"/>
                  <a:t>V</a:t>
                </a:r>
                <a:r>
                  <a:rPr lang="nl-NL"/>
                  <a:t>)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cross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  <a:tailEnd type="arrow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40107936"/>
        <c:crosses val="autoZero"/>
        <c:crossBetween val="midCat"/>
      </c:valAx>
      <c:valAx>
        <c:axId val="1595298304"/>
        <c:scaling>
          <c:orientation val="minMax"/>
          <c:max val="0.60000000000000009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nl-NL"/>
                  <a:t>Std. deviation ratio (</a:t>
                </a:r>
                <a:r>
                  <a:rPr lang="nl-NL" i="1"/>
                  <a:t>s</a:t>
                </a:r>
                <a:r>
                  <a:rPr lang="nl-NL" i="1" baseline="-20000"/>
                  <a:t>V</a:t>
                </a:r>
                <a:r>
                  <a:rPr lang="nl-NL" i="0" baseline="-30000"/>
                  <a:t>u</a:t>
                </a:r>
                <a:r>
                  <a:rPr lang="nl-NL" i="1" baseline="-20000"/>
                  <a:t>/V</a:t>
                </a:r>
                <a:r>
                  <a:rPr lang="nl-NL"/>
                  <a:t>)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95315104"/>
        <c:crosses val="max"/>
        <c:crossBetween val="midCat"/>
      </c:valAx>
      <c:valAx>
        <c:axId val="1595315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5298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3625835197613721"/>
          <c:y val="6.1780769230769229E-2"/>
          <c:w val="0.44284340044742737"/>
          <c:h val="0.25344188034188037"/>
        </c:manualLayout>
      </c:layout>
      <c:overlay val="1"/>
      <c:spPr>
        <a:solidFill>
          <a:srgbClr val="FFFFFF"/>
        </a:solidFill>
        <a:ln>
          <a:solidFill>
            <a:srgbClr val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solidFill>
            <a:srgbClr val="000000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166687</xdr:colOff>
      <xdr:row>0</xdr:row>
      <xdr:rowOff>152400</xdr:rowOff>
    </xdr:from>
    <xdr:to>
      <xdr:col>13</xdr:col>
      <xdr:colOff>471487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A5CBBC-6A7A-481C-BA98-275092B4A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161925</xdr:colOff>
      <xdr:row>16</xdr:row>
      <xdr:rowOff>123825</xdr:rowOff>
    </xdr:from>
    <xdr:to>
      <xdr:col>13</xdr:col>
      <xdr:colOff>466725</xdr:colOff>
      <xdr:row>32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C7DD68-3443-4E5A-9745-01476E507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114300</xdr:colOff>
      <xdr:row>0</xdr:row>
      <xdr:rowOff>123825</xdr:rowOff>
    </xdr:from>
    <xdr:to>
      <xdr:col>23</xdr:col>
      <xdr:colOff>75519</xdr:colOff>
      <xdr:row>23</xdr:row>
      <xdr:rowOff>37563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6308F0-51DF-424D-8AD7-26FD08054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48700" y="123825"/>
          <a:ext cx="5447619" cy="4295238"/>
        </a:xfrm>
        <a:prstGeom prst="rect">
          <a:avLst/>
        </a:prstGeom>
      </xdr:spPr>
    </xdr:pic>
    <xdr:clientData/>
  </xdr:twoCellAnchor>
  <xdr:twoCellAnchor>
    <xdr:from>
      <xdr:col>8</xdr:col>
      <xdr:colOff>161925</xdr:colOff>
      <xdr:row>6</xdr:row>
      <xdr:rowOff>9525</xdr:rowOff>
    </xdr:from>
    <xdr:to>
      <xdr:col>8</xdr:col>
      <xdr:colOff>161925</xdr:colOff>
      <xdr:row>14</xdr:row>
      <xdr:rowOff>66675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A30BAE1-D96A-489F-21EB-379E1B8ED673}"/>
            </a:ext>
          </a:extLst>
        </xdr:cNvPr>
        <xdr:cNvCxnSpPr/>
      </xdr:nvCxnSpPr>
      <xdr:spPr>
        <a:xfrm>
          <a:off x="5038725" y="1152525"/>
          <a:ext cx="0" cy="1581150"/>
        </a:xfrm>
        <a:prstGeom prst="line">
          <a:avLst/>
        </a:prstGeom>
        <a:ln w="15875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457200</xdr:colOff>
      <xdr:row>6</xdr:row>
      <xdr:rowOff>9525</xdr:rowOff>
    </xdr:from>
    <xdr:to>
      <xdr:col>8</xdr:col>
      <xdr:colOff>457200</xdr:colOff>
      <xdr:row>14</xdr:row>
      <xdr:rowOff>66675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E809E2F-F10F-5C35-CAE5-D736FA2A1D6A}"/>
            </a:ext>
          </a:extLst>
        </xdr:cNvPr>
        <xdr:cNvCxnSpPr/>
      </xdr:nvCxnSpPr>
      <xdr:spPr>
        <a:xfrm>
          <a:off x="5334000" y="1152525"/>
          <a:ext cx="0" cy="1581150"/>
        </a:xfrm>
        <a:prstGeom prst="line">
          <a:avLst/>
        </a:prstGeom>
        <a:ln w="15875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166687</xdr:colOff>
      <xdr:row>0</xdr:row>
      <xdr:rowOff>152400</xdr:rowOff>
    </xdr:from>
    <xdr:to>
      <xdr:col>13</xdr:col>
      <xdr:colOff>471487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6888F4-7B96-41A9-B067-35597EB3C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161925</xdr:colOff>
      <xdr:row>16</xdr:row>
      <xdr:rowOff>123825</xdr:rowOff>
    </xdr:from>
    <xdr:to>
      <xdr:col>13</xdr:col>
      <xdr:colOff>466725</xdr:colOff>
      <xdr:row>32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700A10-7CAA-4F06-95F4-B663B9435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114300</xdr:colOff>
      <xdr:row>0</xdr:row>
      <xdr:rowOff>123825</xdr:rowOff>
    </xdr:from>
    <xdr:to>
      <xdr:col>23</xdr:col>
      <xdr:colOff>75519</xdr:colOff>
      <xdr:row>23</xdr:row>
      <xdr:rowOff>37563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8575B0-8A79-437E-8976-2DC3F5B6B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48700" y="123825"/>
          <a:ext cx="5447619" cy="4295238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0.34444</cdr:x>
      <cdr:y>0.31926</cdr:y>
    </cdr:from>
    <cdr:to>
      <cdr:x>0.34444</cdr:x>
      <cdr:y>0.85823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7E6E6C47-DE05-49AB-A088-5391C9CBFEE8}"/>
            </a:ext>
          </a:extLst>
        </cdr:cNvPr>
        <cdr:cNvCxnSpPr/>
      </cdr:nvCxnSpPr>
      <cdr:spPr>
        <a:xfrm xmlns:a="http://schemas.openxmlformats.org/drawingml/2006/main">
          <a:off x="1574780" y="936613"/>
          <a:ext cx="0" cy="1581176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tx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0.4882</cdr:x>
      <cdr:y>0.31926</cdr:y>
    </cdr:from>
    <cdr:to>
      <cdr:x>0.4882</cdr:x>
      <cdr:y>0.85823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A333DE7B-8AB0-1FDE-8D1A-8117F4C21723}"/>
            </a:ext>
          </a:extLst>
        </cdr:cNvPr>
        <cdr:cNvCxnSpPr/>
      </cdr:nvCxnSpPr>
      <cdr:spPr>
        <a:xfrm xmlns:a="http://schemas.openxmlformats.org/drawingml/2006/main">
          <a:off x="2232035" y="936613"/>
          <a:ext cx="0" cy="1581176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tx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166687</xdr:colOff>
      <xdr:row>0</xdr:row>
      <xdr:rowOff>152400</xdr:rowOff>
    </xdr:from>
    <xdr:to>
      <xdr:col>13</xdr:col>
      <xdr:colOff>471487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A6431F-8B47-46A1-AE9A-BCED94A49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161925</xdr:colOff>
      <xdr:row>16</xdr:row>
      <xdr:rowOff>123825</xdr:rowOff>
    </xdr:from>
    <xdr:to>
      <xdr:col>13</xdr:col>
      <xdr:colOff>466725</xdr:colOff>
      <xdr:row>32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1DD9B3-735A-496B-873E-52A88FF4A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114300</xdr:colOff>
      <xdr:row>0</xdr:row>
      <xdr:rowOff>123825</xdr:rowOff>
    </xdr:from>
    <xdr:to>
      <xdr:col>23</xdr:col>
      <xdr:colOff>75519</xdr:colOff>
      <xdr:row>23</xdr:row>
      <xdr:rowOff>37563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928801-40C1-4D84-AE82-CADF254A2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48700" y="123825"/>
          <a:ext cx="5447619" cy="4295238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0.29444</cdr:x>
      <cdr:y>0.31926</cdr:y>
    </cdr:from>
    <cdr:to>
      <cdr:x>0.29444</cdr:x>
      <cdr:y>0.85823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7E6E6C47-DE05-49AB-A088-5391C9CBFEE8}"/>
            </a:ext>
          </a:extLst>
        </cdr:cNvPr>
        <cdr:cNvCxnSpPr/>
      </cdr:nvCxnSpPr>
      <cdr:spPr>
        <a:xfrm xmlns:a="http://schemas.openxmlformats.org/drawingml/2006/main">
          <a:off x="1346180" y="936613"/>
          <a:ext cx="0" cy="1581176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tx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0.47778</cdr:x>
      <cdr:y>0.31926</cdr:y>
    </cdr:from>
    <cdr:to>
      <cdr:x>0.47778</cdr:x>
      <cdr:y>0.85823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A333DE7B-8AB0-1FDE-8D1A-8117F4C21723}"/>
            </a:ext>
          </a:extLst>
        </cdr:cNvPr>
        <cdr:cNvCxnSpPr/>
      </cdr:nvCxnSpPr>
      <cdr:spPr>
        <a:xfrm xmlns:a="http://schemas.openxmlformats.org/drawingml/2006/main">
          <a:off x="2184425" y="936613"/>
          <a:ext cx="0" cy="1581176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tx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166687</xdr:colOff>
      <xdr:row>0</xdr:row>
      <xdr:rowOff>152400</xdr:rowOff>
    </xdr:from>
    <xdr:to>
      <xdr:col>13</xdr:col>
      <xdr:colOff>471487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2ED014-7271-4E02-B063-E64DC2E42D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161925</xdr:colOff>
      <xdr:row>16</xdr:row>
      <xdr:rowOff>123825</xdr:rowOff>
    </xdr:from>
    <xdr:to>
      <xdr:col>13</xdr:col>
      <xdr:colOff>466725</xdr:colOff>
      <xdr:row>32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05F0ED-E54C-4730-A62D-5621F8640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114300</xdr:colOff>
      <xdr:row>0</xdr:row>
      <xdr:rowOff>123825</xdr:rowOff>
    </xdr:from>
    <xdr:to>
      <xdr:col>23</xdr:col>
      <xdr:colOff>75519</xdr:colOff>
      <xdr:row>23</xdr:row>
      <xdr:rowOff>37563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D9775D-7384-4C8A-A81C-DADECD3E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48700" y="123825"/>
          <a:ext cx="5447619" cy="4295238"/>
        </a:xfrm>
        <a:prstGeom prst="rect">
          <a:avLst/>
        </a:prstGeom>
      </xdr:spPr>
    </xdr:pic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0.29444</cdr:x>
      <cdr:y>0.31926</cdr:y>
    </cdr:from>
    <cdr:to>
      <cdr:x>0.29444</cdr:x>
      <cdr:y>0.85823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7E6E6C47-DE05-49AB-A088-5391C9CBFEE8}"/>
            </a:ext>
          </a:extLst>
        </cdr:cNvPr>
        <cdr:cNvCxnSpPr/>
      </cdr:nvCxnSpPr>
      <cdr:spPr>
        <a:xfrm xmlns:a="http://schemas.openxmlformats.org/drawingml/2006/main">
          <a:off x="1346180" y="936613"/>
          <a:ext cx="0" cy="1581176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tx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0.42778</cdr:x>
      <cdr:y>0.31926</cdr:y>
    </cdr:from>
    <cdr:to>
      <cdr:x>0.42778</cdr:x>
      <cdr:y>0.85823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A333DE7B-8AB0-1FDE-8D1A-8117F4C21723}"/>
            </a:ext>
          </a:extLst>
        </cdr:cNvPr>
        <cdr:cNvCxnSpPr/>
      </cdr:nvCxnSpPr>
      <cdr:spPr>
        <a:xfrm xmlns:a="http://schemas.openxmlformats.org/drawingml/2006/main">
          <a:off x="1955810" y="936613"/>
          <a:ext cx="0" cy="1581176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tx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166687</xdr:colOff>
      <xdr:row>0</xdr:row>
      <xdr:rowOff>152400</xdr:rowOff>
    </xdr:from>
    <xdr:to>
      <xdr:col>13</xdr:col>
      <xdr:colOff>471487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9310B2-9C29-6A91-0780-3BDE9C794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161925</xdr:colOff>
      <xdr:row>16</xdr:row>
      <xdr:rowOff>123825</xdr:rowOff>
    </xdr:from>
    <xdr:to>
      <xdr:col>13</xdr:col>
      <xdr:colOff>466725</xdr:colOff>
      <xdr:row>32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3EAFF5-03F9-46CD-9671-15A02C3AF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114300</xdr:colOff>
      <xdr:row>0</xdr:row>
      <xdr:rowOff>123825</xdr:rowOff>
    </xdr:from>
    <xdr:to>
      <xdr:col>23</xdr:col>
      <xdr:colOff>75519</xdr:colOff>
      <xdr:row>23</xdr:row>
      <xdr:rowOff>37563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3A5491-70A7-CE4B-31CE-A54AA4AFA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48700" y="123825"/>
          <a:ext cx="5447619" cy="4295238"/>
        </a:xfrm>
        <a:prstGeom prst="rect">
          <a:avLst/>
        </a:prstGeom>
      </xdr:spPr>
    </xdr:pic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0.29236</cdr:x>
      <cdr:y>0.32576</cdr:y>
    </cdr:from>
    <cdr:to>
      <cdr:x>0.29236</cdr:x>
      <cdr:y>0.86472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7E6E6C47-DE05-49AB-A088-5391C9CBFEE8}"/>
            </a:ext>
          </a:extLst>
        </cdr:cNvPr>
        <cdr:cNvCxnSpPr/>
      </cdr:nvCxnSpPr>
      <cdr:spPr>
        <a:xfrm xmlns:a="http://schemas.openxmlformats.org/drawingml/2006/main">
          <a:off x="1336675" y="955675"/>
          <a:ext cx="0" cy="158115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tx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0.45069</cdr:x>
      <cdr:y>0.32576</cdr:y>
    </cdr:from>
    <cdr:to>
      <cdr:x>0.45069</cdr:x>
      <cdr:y>0.86472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A333DE7B-8AB0-1FDE-8D1A-8117F4C21723}"/>
            </a:ext>
          </a:extLst>
        </cdr:cNvPr>
        <cdr:cNvCxnSpPr/>
      </cdr:nvCxnSpPr>
      <cdr:spPr>
        <a:xfrm xmlns:a="http://schemas.openxmlformats.org/drawingml/2006/main">
          <a:off x="2060575" y="955675"/>
          <a:ext cx="0" cy="158115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tx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10</xdr:col>
      <xdr:colOff>243600</xdr:colOff>
      <xdr:row>13</xdr:row>
      <xdr:rowOff>54000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78F7A0-CBC0-4382-85AB-3E14976E2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5</xdr:col>
      <xdr:colOff>243600</xdr:colOff>
      <xdr:row>13</xdr:row>
      <xdr:rowOff>54000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ECEA3D-91C2-444D-BC1E-E54FD60B3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0.14513</cdr:x>
      <cdr:y>0.03799</cdr:y>
    </cdr:from>
    <cdr:to>
      <cdr:x>0.26905</cdr:x>
      <cdr:y>0.17232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9F39E89-14F2-0A44-FF04-1CA64E36D3C7}"/>
            </a:ext>
          </a:extLst>
        </cdr:cNvPr>
        <cdr:cNvSpPr txBox="1"/>
      </cdr:nvSpPr>
      <cdr:spPr>
        <a:xfrm xmlns:a="http://schemas.openxmlformats.org/drawingml/2006/main">
          <a:off x="412750" y="88900"/>
          <a:ext cx="3524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nl-NL" sz="1100" b="1">
              <a:latin typeface="Times New Roman" panose="02020603050405020304" pitchFamily="18" charset="0"/>
              <a:cs typeface="Times New Roman" panose="02020603050405020304" pitchFamily="18" charset="0"/>
            </a:rPr>
            <a:t>(b)</a:t>
          </a:r>
          <a:endParaRPr lang="nl-NL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0.14401</cdr:x>
      <cdr:y>0.03663</cdr:y>
    </cdr:from>
    <cdr:to>
      <cdr:x>0.26793</cdr:x>
      <cdr:y>0.17096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2FDD74B-065A-DCEE-8033-C3E8AAACFC64}"/>
            </a:ext>
          </a:extLst>
        </cdr:cNvPr>
        <cdr:cNvSpPr txBox="1"/>
      </cdr:nvSpPr>
      <cdr:spPr>
        <a:xfrm xmlns:a="http://schemas.openxmlformats.org/drawingml/2006/main">
          <a:off x="409574" y="85725"/>
          <a:ext cx="3524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nl-NL" sz="1100" b="1">
              <a:latin typeface="Times New Roman" panose="02020603050405020304" pitchFamily="18" charset="0"/>
              <a:cs typeface="Times New Roman" panose="02020603050405020304" pitchFamily="18" charset="0"/>
            </a:rPr>
            <a:t>(a)</a:t>
          </a:r>
          <a:endParaRPr lang="nl-NL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15</xdr:col>
      <xdr:colOff>243600</xdr:colOff>
      <xdr:row>12</xdr:row>
      <xdr:rowOff>64500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56FA9C-87AF-4F1C-87BD-F133105D9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0.2344</cdr:x>
      <cdr:y>0.0692</cdr:y>
    </cdr:from>
    <cdr:to>
      <cdr:x>0.33384</cdr:x>
      <cdr:y>0.18724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A422BB6-4EC6-F238-F41A-D7AD6A4A8021}"/>
            </a:ext>
          </a:extLst>
        </cdr:cNvPr>
        <cdr:cNvSpPr txBox="1"/>
      </cdr:nvSpPr>
      <cdr:spPr>
        <a:xfrm xmlns:a="http://schemas.openxmlformats.org/drawingml/2006/main">
          <a:off x="628650" y="161925"/>
          <a:ext cx="26670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0" tIns="0" rIns="0" bIns="0" rtlCol="0"/>
        <a:lstStyle xmlns:a="http://schemas.openxmlformats.org/drawingml/2006/main"/>
        <a:p xmlns:a="http://schemas.openxmlformats.org/drawingml/2006/main">
          <a:r>
            <a:rPr lang="nl-NL" sz="1100" b="1">
              <a:latin typeface="Times New Roman" panose="02020603050405020304" pitchFamily="18" charset="0"/>
              <a:cs typeface="Times New Roman" panose="02020603050405020304" pitchFamily="18" charset="0"/>
            </a:rPr>
            <a:t>(a)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15</xdr:col>
      <xdr:colOff>243600</xdr:colOff>
      <xdr:row>12</xdr:row>
      <xdr:rowOff>64500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A04574-B3E4-4C6E-960D-C5005DB08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0.22137</cdr:x>
      <cdr:y>0.07056</cdr:y>
    </cdr:from>
    <cdr:to>
      <cdr:x>0.32081</cdr:x>
      <cdr:y>0.1886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7A6A2D7-6848-2D59-1DB8-94AA4CD5F4EA}"/>
            </a:ext>
          </a:extLst>
        </cdr:cNvPr>
        <cdr:cNvSpPr txBox="1"/>
      </cdr:nvSpPr>
      <cdr:spPr>
        <a:xfrm xmlns:a="http://schemas.openxmlformats.org/drawingml/2006/main">
          <a:off x="593725" y="165100"/>
          <a:ext cx="26670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lIns="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nl-NL" sz="1100" b="1">
              <a:latin typeface="Times New Roman" panose="02020603050405020304" pitchFamily="18" charset="0"/>
              <a:cs typeface="Times New Roman" panose="02020603050405020304" pitchFamily="18" charset="0"/>
            </a:rPr>
            <a:t>(b)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riesrd2\AppData\Roaming\Microsoft\Excel\XLSTART\PERSONAL.XLSB" TargetMode="External"/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INTERPOLATE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D17A-F311-4473-A071-599509508DF1}">
  <sheetPr codeName="Sheet8"/>
  <dimension ref="A1:S33"/>
  <sheetViews>
    <sheetView tabSelected="1" workbookViewId="0"/>
  </sheetViews>
  <sheetFormatPr defaultRowHeight="15" x14ac:dyDescent="0.25"/>
  <sheetData>
    <row r="1" spans="1:6" x14ac:dyDescent="0.25">
      <c r="A1" s="2" t="s">
        <v>0</v>
      </c>
      <c r="B1">
        <v>341</v>
      </c>
      <c r="C1" t="s">
        <v>6</v>
      </c>
      <c r="D1" s="2" t="s">
        <v>35</v>
      </c>
      <c r="E1">
        <f>C9/B1</f>
        <v>0.66666666666666663</v>
      </c>
    </row>
    <row r="2" spans="1:6" x14ac:dyDescent="0.25">
      <c r="A2" s="2" t="s">
        <v>4</v>
      </c>
      <c r="B2">
        <v>9</v>
      </c>
      <c r="C2" t="s">
        <v>5</v>
      </c>
      <c r="D2" s="2"/>
    </row>
    <row r="3" spans="1:6" x14ac:dyDescent="0.25">
      <c r="A3" s="2" t="s">
        <v>7</v>
      </c>
      <c r="B3">
        <v>3</v>
      </c>
      <c r="C3" t="s">
        <v>5</v>
      </c>
    </row>
    <row r="4" spans="1:6" x14ac:dyDescent="0.25">
      <c r="A4" s="2" t="s">
        <v>9</v>
      </c>
      <c r="B4">
        <v>1.145</v>
      </c>
      <c r="C4" t="s">
        <v>5</v>
      </c>
    </row>
    <row r="5" spans="1:6" x14ac:dyDescent="0.25">
      <c r="A5" s="2" t="s">
        <v>12</v>
      </c>
      <c r="B5">
        <f>(B2-B3)/B2*B1</f>
        <v>227.33333333333331</v>
      </c>
      <c r="C5" t="s">
        <v>6</v>
      </c>
    </row>
    <row r="6" spans="1:6" x14ac:dyDescent="0.25">
      <c r="A6" s="2" t="s">
        <v>13</v>
      </c>
      <c r="B6">
        <f>B3/B2*B1</f>
        <v>113.66666666666666</v>
      </c>
      <c r="C6" t="s">
        <v>6</v>
      </c>
    </row>
    <row r="8" spans="1:6" x14ac:dyDescent="0.25">
      <c r="A8" s="2" t="s">
        <v>2</v>
      </c>
      <c r="B8" s="2" t="s">
        <v>3</v>
      </c>
      <c r="C8" s="2" t="s">
        <v>8</v>
      </c>
      <c r="D8" s="2" t="s">
        <v>10</v>
      </c>
      <c r="F8" s="2"/>
    </row>
    <row r="9" spans="1:6" x14ac:dyDescent="0.25">
      <c r="A9">
        <v>0</v>
      </c>
      <c r="B9">
        <f t="shared" ref="B9:B16" si="0">IF(A9&lt;=B$3, A9*B$5, (B$2-A9)*B$6)</f>
        <v>0</v>
      </c>
      <c r="C9">
        <f>IF(A9&lt;=B$3, B$5, -B$6)</f>
        <v>227.33333333333331</v>
      </c>
      <c r="D9">
        <f>B9/(C9*B$4)</f>
        <v>0</v>
      </c>
    </row>
    <row r="10" spans="1:6" x14ac:dyDescent="0.25">
      <c r="A10">
        <v>0.5</v>
      </c>
      <c r="B10">
        <f t="shared" si="0"/>
        <v>113.66666666666666</v>
      </c>
      <c r="C10">
        <f t="shared" ref="C10:C17" si="1">IF(A10&lt;=B$3, B$5, -B$6)</f>
        <v>227.33333333333331</v>
      </c>
      <c r="D10">
        <f t="shared" ref="D10:D30" si="2">B10/(C10*B$4)</f>
        <v>0.4366812227074236</v>
      </c>
      <c r="E10">
        <f>A10/D10</f>
        <v>1.145</v>
      </c>
    </row>
    <row r="11" spans="1:6" x14ac:dyDescent="0.25">
      <c r="A11">
        <v>1</v>
      </c>
      <c r="B11">
        <f t="shared" si="0"/>
        <v>227.33333333333331</v>
      </c>
      <c r="C11">
        <f t="shared" si="1"/>
        <v>227.33333333333331</v>
      </c>
      <c r="D11">
        <f t="shared" si="2"/>
        <v>0.8733624454148472</v>
      </c>
      <c r="E11">
        <f t="shared" ref="E11:E29" si="3">A11/D11</f>
        <v>1.145</v>
      </c>
    </row>
    <row r="12" spans="1:6" x14ac:dyDescent="0.25">
      <c r="A12">
        <v>1.5</v>
      </c>
      <c r="B12">
        <f t="shared" si="0"/>
        <v>341</v>
      </c>
      <c r="C12">
        <f t="shared" si="1"/>
        <v>227.33333333333331</v>
      </c>
      <c r="D12">
        <f t="shared" si="2"/>
        <v>1.3100436681222709</v>
      </c>
      <c r="E12">
        <f t="shared" si="3"/>
        <v>1.1449999999999998</v>
      </c>
    </row>
    <row r="13" spans="1:6" x14ac:dyDescent="0.25">
      <c r="A13">
        <v>2</v>
      </c>
      <c r="B13">
        <f t="shared" si="0"/>
        <v>454.66666666666663</v>
      </c>
      <c r="C13">
        <f t="shared" si="1"/>
        <v>227.33333333333331</v>
      </c>
      <c r="D13">
        <f t="shared" si="2"/>
        <v>1.7467248908296944</v>
      </c>
      <c r="E13">
        <f t="shared" si="3"/>
        <v>1.145</v>
      </c>
    </row>
    <row r="14" spans="1:6" x14ac:dyDescent="0.25">
      <c r="A14">
        <v>2.5</v>
      </c>
      <c r="B14">
        <f t="shared" si="0"/>
        <v>568.33333333333326</v>
      </c>
      <c r="C14">
        <f t="shared" si="1"/>
        <v>227.33333333333331</v>
      </c>
      <c r="D14">
        <f t="shared" si="2"/>
        <v>2.1834061135371181</v>
      </c>
      <c r="E14">
        <f t="shared" si="3"/>
        <v>1.1449999999999998</v>
      </c>
    </row>
    <row r="15" spans="1:6" x14ac:dyDescent="0.25">
      <c r="A15">
        <v>3</v>
      </c>
      <c r="B15">
        <f t="shared" si="0"/>
        <v>682</v>
      </c>
      <c r="C15">
        <f t="shared" si="1"/>
        <v>227.33333333333331</v>
      </c>
      <c r="D15">
        <f t="shared" si="2"/>
        <v>2.6200873362445418</v>
      </c>
      <c r="E15">
        <f t="shared" si="3"/>
        <v>1.1449999999999998</v>
      </c>
    </row>
    <row r="16" spans="1:6" x14ac:dyDescent="0.25">
      <c r="A16">
        <v>3.0000010000000001</v>
      </c>
      <c r="B16">
        <f t="shared" si="0"/>
        <v>681.99988633333328</v>
      </c>
      <c r="C16">
        <f t="shared" si="1"/>
        <v>-113.66666666666666</v>
      </c>
      <c r="D16">
        <f t="shared" si="2"/>
        <v>-5.2401737991266382</v>
      </c>
      <c r="E16">
        <f t="shared" si="3"/>
        <v>-0.57250028625004767</v>
      </c>
    </row>
    <row r="17" spans="1:18" x14ac:dyDescent="0.25">
      <c r="A17">
        <v>3.5</v>
      </c>
      <c r="B17">
        <f>IF(A17&lt;=B$3, A17*B$5, (B$2-A17)*B$6)</f>
        <v>625.16666666666663</v>
      </c>
      <c r="C17">
        <f t="shared" si="1"/>
        <v>-113.66666666666666</v>
      </c>
      <c r="D17">
        <f t="shared" si="2"/>
        <v>-4.8034934497816595</v>
      </c>
      <c r="E17">
        <f t="shared" si="3"/>
        <v>-0.72863636363636364</v>
      </c>
    </row>
    <row r="18" spans="1:18" x14ac:dyDescent="0.25">
      <c r="A18">
        <v>4</v>
      </c>
      <c r="B18">
        <f t="shared" ref="B18:B30" si="4">IF(A18&lt;=B$3, A18*B$5, (B$2-A18)*B$6)</f>
        <v>568.33333333333326</v>
      </c>
      <c r="C18">
        <f>IF(A18&lt;=B$3, B$5, -B$6)</f>
        <v>-113.66666666666666</v>
      </c>
      <c r="D18">
        <f>B18/(C18*B$4)</f>
        <v>-4.3668122270742362</v>
      </c>
      <c r="E18">
        <f t="shared" si="3"/>
        <v>-0.91599999999999993</v>
      </c>
    </row>
    <row r="19" spans="1:18" x14ac:dyDescent="0.25">
      <c r="A19">
        <v>4.0000010000000001</v>
      </c>
      <c r="B19">
        <f t="shared" si="4"/>
        <v>568.33321966666665</v>
      </c>
      <c r="C19">
        <f t="shared" ref="C19:C30" si="5">IF(A19&lt;=B$3, B$5, -B$6)</f>
        <v>-113.66666666666666</v>
      </c>
      <c r="D19">
        <f>B19/(C19*B$4)</f>
        <v>-4.3668113537117907</v>
      </c>
      <c r="E19">
        <f>A19/D19</f>
        <v>-0.91600041220008244</v>
      </c>
    </row>
    <row r="20" spans="1:18" x14ac:dyDescent="0.25">
      <c r="A20">
        <v>4.5</v>
      </c>
      <c r="B20">
        <f t="shared" si="4"/>
        <v>511.49999999999994</v>
      </c>
      <c r="C20">
        <f t="shared" si="5"/>
        <v>-113.66666666666666</v>
      </c>
      <c r="D20">
        <f>B20/(C20*B$4)</f>
        <v>-3.9301310043668125</v>
      </c>
      <c r="E20">
        <f t="shared" si="3"/>
        <v>-1.145</v>
      </c>
    </row>
    <row r="21" spans="1:18" x14ac:dyDescent="0.25">
      <c r="A21">
        <v>4.5000010000000001</v>
      </c>
      <c r="B21">
        <f t="shared" si="4"/>
        <v>511.49988633333328</v>
      </c>
      <c r="C21">
        <f t="shared" si="5"/>
        <v>-113.66666666666666</v>
      </c>
      <c r="D21">
        <f t="shared" si="2"/>
        <v>-3.930130131004367</v>
      </c>
      <c r="E21">
        <f t="shared" si="3"/>
        <v>-1.1450005088890018</v>
      </c>
    </row>
    <row r="22" spans="1:18" x14ac:dyDescent="0.25">
      <c r="A22">
        <v>5</v>
      </c>
      <c r="B22">
        <f t="shared" si="4"/>
        <v>454.66666666666663</v>
      </c>
      <c r="C22">
        <f t="shared" si="5"/>
        <v>-113.66666666666666</v>
      </c>
      <c r="D22">
        <f t="shared" si="2"/>
        <v>-3.4934497816593888</v>
      </c>
      <c r="E22">
        <f t="shared" si="3"/>
        <v>-1.4312499999999999</v>
      </c>
    </row>
    <row r="23" spans="1:18" x14ac:dyDescent="0.25">
      <c r="A23">
        <v>5.5</v>
      </c>
      <c r="B23">
        <f t="shared" si="4"/>
        <v>397.83333333333331</v>
      </c>
      <c r="C23">
        <f t="shared" si="5"/>
        <v>-113.66666666666666</v>
      </c>
      <c r="D23">
        <f t="shared" si="2"/>
        <v>-3.0567685589519655</v>
      </c>
      <c r="E23">
        <f t="shared" si="3"/>
        <v>-1.7992857142857139</v>
      </c>
    </row>
    <row r="24" spans="1:18" x14ac:dyDescent="0.25">
      <c r="A24">
        <v>6</v>
      </c>
      <c r="B24">
        <f t="shared" si="4"/>
        <v>341</v>
      </c>
      <c r="C24">
        <f t="shared" si="5"/>
        <v>-113.66666666666666</v>
      </c>
      <c r="D24">
        <f t="shared" si="2"/>
        <v>-2.6200873362445418</v>
      </c>
      <c r="E24">
        <f t="shared" si="3"/>
        <v>-2.2899999999999996</v>
      </c>
    </row>
    <row r="25" spans="1:18" x14ac:dyDescent="0.25">
      <c r="A25">
        <v>6.5</v>
      </c>
      <c r="B25">
        <f t="shared" si="4"/>
        <v>284.16666666666663</v>
      </c>
      <c r="C25">
        <f t="shared" si="5"/>
        <v>-113.66666666666666</v>
      </c>
      <c r="D25">
        <f t="shared" si="2"/>
        <v>-2.1834061135371181</v>
      </c>
      <c r="E25">
        <f t="shared" si="3"/>
        <v>-2.9769999999999999</v>
      </c>
    </row>
    <row r="26" spans="1:18" x14ac:dyDescent="0.25">
      <c r="A26">
        <v>7</v>
      </c>
      <c r="B26">
        <f t="shared" si="4"/>
        <v>227.33333333333331</v>
      </c>
      <c r="C26">
        <f t="shared" si="5"/>
        <v>-113.66666666666666</v>
      </c>
      <c r="D26">
        <f t="shared" si="2"/>
        <v>-1.7467248908296944</v>
      </c>
      <c r="E26">
        <f t="shared" si="3"/>
        <v>-4.0074999999999994</v>
      </c>
      <c r="P26" t="s">
        <v>21</v>
      </c>
      <c r="Q26">
        <v>0.3</v>
      </c>
      <c r="R26" t="s">
        <v>5</v>
      </c>
    </row>
    <row r="27" spans="1:18" x14ac:dyDescent="0.25">
      <c r="A27">
        <v>7.5</v>
      </c>
      <c r="B27">
        <f t="shared" si="4"/>
        <v>170.5</v>
      </c>
      <c r="C27">
        <f t="shared" si="5"/>
        <v>-113.66666666666666</v>
      </c>
      <c r="D27">
        <f t="shared" si="2"/>
        <v>-1.3100436681222709</v>
      </c>
      <c r="E27">
        <f t="shared" si="3"/>
        <v>-5.7249999999999996</v>
      </c>
      <c r="P27" t="s">
        <v>20</v>
      </c>
      <c r="Q27">
        <v>1.2</v>
      </c>
      <c r="R27" t="s">
        <v>5</v>
      </c>
    </row>
    <row r="28" spans="1:18" x14ac:dyDescent="0.25">
      <c r="A28">
        <v>8</v>
      </c>
      <c r="B28">
        <f t="shared" si="4"/>
        <v>113.66666666666666</v>
      </c>
      <c r="C28">
        <f t="shared" si="5"/>
        <v>-113.66666666666666</v>
      </c>
      <c r="D28">
        <f t="shared" si="2"/>
        <v>-0.8733624454148472</v>
      </c>
      <c r="E28">
        <f t="shared" si="3"/>
        <v>-9.16</v>
      </c>
      <c r="P28" t="s">
        <v>22</v>
      </c>
      <c r="Q28">
        <v>2450</v>
      </c>
      <c r="R28" t="s">
        <v>26</v>
      </c>
    </row>
    <row r="29" spans="1:18" x14ac:dyDescent="0.25">
      <c r="A29">
        <v>8.5</v>
      </c>
      <c r="B29">
        <f t="shared" si="4"/>
        <v>56.833333333333329</v>
      </c>
      <c r="C29">
        <f t="shared" si="5"/>
        <v>-113.66666666666666</v>
      </c>
      <c r="D29">
        <f t="shared" si="2"/>
        <v>-0.4366812227074236</v>
      </c>
      <c r="E29">
        <f t="shared" si="3"/>
        <v>-19.465</v>
      </c>
      <c r="P29" t="s">
        <v>25</v>
      </c>
      <c r="Q29">
        <v>9.81</v>
      </c>
      <c r="R29" t="s">
        <v>27</v>
      </c>
    </row>
    <row r="30" spans="1:18" x14ac:dyDescent="0.25">
      <c r="A30">
        <v>9</v>
      </c>
      <c r="B30">
        <f t="shared" si="4"/>
        <v>0</v>
      </c>
      <c r="C30">
        <f t="shared" si="5"/>
        <v>-113.66666666666666</v>
      </c>
      <c r="D30">
        <f t="shared" si="2"/>
        <v>0</v>
      </c>
      <c r="P30" t="s">
        <v>23</v>
      </c>
      <c r="Q30">
        <f>Q26*Q27*Q28*Q29/1000</f>
        <v>8.6524199999999993</v>
      </c>
      <c r="R30" t="s">
        <v>24</v>
      </c>
    </row>
    <row r="31" spans="1:18" x14ac:dyDescent="0.25">
      <c r="P31" t="s">
        <v>28</v>
      </c>
      <c r="Q31">
        <f>Q30*B2/2</f>
        <v>38.935890000000001</v>
      </c>
      <c r="R31" t="s">
        <v>6</v>
      </c>
    </row>
    <row r="32" spans="1:18" x14ac:dyDescent="0.25">
      <c r="P32" t="s">
        <v>30</v>
      </c>
      <c r="Q32">
        <f>(4.5-1)/4.5*Q31</f>
        <v>30.283470000000001</v>
      </c>
      <c r="R32" t="s">
        <v>6</v>
      </c>
    </row>
    <row r="33" spans="16:19" x14ac:dyDescent="0.25">
      <c r="P33" t="s">
        <v>29</v>
      </c>
      <c r="Q33">
        <f>(4.5-2)/4.5*Q31</f>
        <v>21.631050000000002</v>
      </c>
      <c r="R33" t="s">
        <v>6</v>
      </c>
      <c r="S33" t="s">
        <v>31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1A48-A22B-4ADB-A24D-448C59351DAB}">
  <sheetPr codeName="Sheet9"/>
  <dimension ref="A1:S33"/>
  <sheetViews>
    <sheetView workbookViewId="0"/>
  </sheetViews>
  <sheetFormatPr defaultRowHeight="15" x14ac:dyDescent="0.25"/>
  <sheetData>
    <row r="1" spans="1:5" x14ac:dyDescent="0.25">
      <c r="A1" s="2" t="s">
        <v>0</v>
      </c>
      <c r="B1">
        <v>263</v>
      </c>
      <c r="C1" t="s">
        <v>6</v>
      </c>
      <c r="D1" s="2" t="s">
        <v>35</v>
      </c>
      <c r="E1">
        <f>C9/B1</f>
        <v>0.5</v>
      </c>
    </row>
    <row r="2" spans="1:5" x14ac:dyDescent="0.25">
      <c r="A2" s="2" t="s">
        <v>4</v>
      </c>
      <c r="B2">
        <v>9</v>
      </c>
      <c r="C2" t="s">
        <v>5</v>
      </c>
      <c r="D2" s="2"/>
    </row>
    <row r="3" spans="1:5" x14ac:dyDescent="0.25">
      <c r="A3" s="2" t="s">
        <v>7</v>
      </c>
      <c r="B3">
        <v>4.5</v>
      </c>
      <c r="C3" t="s">
        <v>5</v>
      </c>
    </row>
    <row r="4" spans="1:5" x14ac:dyDescent="0.25">
      <c r="A4" s="2" t="s">
        <v>9</v>
      </c>
      <c r="B4">
        <v>1.1579999999999999</v>
      </c>
      <c r="C4" t="s">
        <v>5</v>
      </c>
    </row>
    <row r="5" spans="1:5" x14ac:dyDescent="0.25">
      <c r="A5" s="2" t="s">
        <v>12</v>
      </c>
      <c r="B5">
        <f>(B2-B3)/B2*B1</f>
        <v>131.5</v>
      </c>
      <c r="C5" t="s">
        <v>6</v>
      </c>
    </row>
    <row r="6" spans="1:5" x14ac:dyDescent="0.25">
      <c r="A6" s="2" t="s">
        <v>13</v>
      </c>
      <c r="B6">
        <f>B3/B2*B1</f>
        <v>131.5</v>
      </c>
      <c r="C6" t="s">
        <v>6</v>
      </c>
    </row>
    <row r="8" spans="1:5" x14ac:dyDescent="0.25">
      <c r="A8" s="2" t="s">
        <v>2</v>
      </c>
      <c r="B8" s="2" t="s">
        <v>3</v>
      </c>
      <c r="C8" s="2" t="s">
        <v>8</v>
      </c>
      <c r="D8" s="2" t="s">
        <v>10</v>
      </c>
    </row>
    <row r="9" spans="1:5" x14ac:dyDescent="0.25">
      <c r="A9">
        <v>0</v>
      </c>
      <c r="B9">
        <f t="shared" ref="B9:B16" si="0">IF(A9&lt;=B$3, A9*B$5, (B$2-A9)*B$6)</f>
        <v>0</v>
      </c>
      <c r="C9">
        <f>IF(A9&lt;=B$3, B$5, -B$6)</f>
        <v>131.5</v>
      </c>
      <c r="D9">
        <f>B9/(C9*B$4)</f>
        <v>0</v>
      </c>
    </row>
    <row r="10" spans="1:5" x14ac:dyDescent="0.25">
      <c r="A10">
        <v>0.5</v>
      </c>
      <c r="B10">
        <f t="shared" si="0"/>
        <v>65.75</v>
      </c>
      <c r="C10">
        <f t="shared" ref="C10:C17" si="1">IF(A10&lt;=B$3, B$5, -B$6)</f>
        <v>131.5</v>
      </c>
      <c r="D10">
        <f t="shared" ref="D10:D30" si="2">B10/(C10*B$4)</f>
        <v>0.43177892918825567</v>
      </c>
      <c r="E10">
        <f>A10/D10</f>
        <v>1.1579999999999999</v>
      </c>
    </row>
    <row r="11" spans="1:5" x14ac:dyDescent="0.25">
      <c r="A11">
        <v>1</v>
      </c>
      <c r="B11">
        <f t="shared" si="0"/>
        <v>131.5</v>
      </c>
      <c r="C11">
        <f t="shared" si="1"/>
        <v>131.5</v>
      </c>
      <c r="D11">
        <f t="shared" si="2"/>
        <v>0.86355785837651133</v>
      </c>
      <c r="E11">
        <f t="shared" ref="E11:E29" si="3">A11/D11</f>
        <v>1.1579999999999999</v>
      </c>
    </row>
    <row r="12" spans="1:5" x14ac:dyDescent="0.25">
      <c r="A12">
        <v>1.5</v>
      </c>
      <c r="B12">
        <f t="shared" si="0"/>
        <v>197.25</v>
      </c>
      <c r="C12">
        <f t="shared" si="1"/>
        <v>131.5</v>
      </c>
      <c r="D12">
        <f t="shared" si="2"/>
        <v>1.295336787564767</v>
      </c>
      <c r="E12">
        <f t="shared" si="3"/>
        <v>1.1579999999999999</v>
      </c>
    </row>
    <row r="13" spans="1:5" x14ac:dyDescent="0.25">
      <c r="A13">
        <v>2</v>
      </c>
      <c r="B13">
        <f t="shared" si="0"/>
        <v>263</v>
      </c>
      <c r="C13">
        <f t="shared" si="1"/>
        <v>131.5</v>
      </c>
      <c r="D13">
        <f t="shared" si="2"/>
        <v>1.7271157167530227</v>
      </c>
      <c r="E13">
        <f t="shared" si="3"/>
        <v>1.1579999999999999</v>
      </c>
    </row>
    <row r="14" spans="1:5" x14ac:dyDescent="0.25">
      <c r="A14">
        <v>2.5</v>
      </c>
      <c r="B14">
        <f t="shared" si="0"/>
        <v>328.75</v>
      </c>
      <c r="C14">
        <f t="shared" si="1"/>
        <v>131.5</v>
      </c>
      <c r="D14">
        <f t="shared" si="2"/>
        <v>2.1588946459412783</v>
      </c>
      <c r="E14">
        <f t="shared" si="3"/>
        <v>1.1579999999999999</v>
      </c>
    </row>
    <row r="15" spans="1:5" x14ac:dyDescent="0.25">
      <c r="A15">
        <v>3</v>
      </c>
      <c r="B15">
        <f t="shared" si="0"/>
        <v>394.5</v>
      </c>
      <c r="C15">
        <f t="shared" si="1"/>
        <v>131.5</v>
      </c>
      <c r="D15">
        <f t="shared" si="2"/>
        <v>2.590673575129534</v>
      </c>
      <c r="E15">
        <f t="shared" si="3"/>
        <v>1.1579999999999999</v>
      </c>
    </row>
    <row r="16" spans="1:5" x14ac:dyDescent="0.25">
      <c r="A16">
        <v>3.0000010000000001</v>
      </c>
      <c r="B16">
        <f t="shared" si="0"/>
        <v>394.50013150000001</v>
      </c>
      <c r="C16">
        <f t="shared" si="1"/>
        <v>131.5</v>
      </c>
      <c r="D16">
        <f t="shared" si="2"/>
        <v>2.5906744386873926</v>
      </c>
      <c r="E16">
        <f t="shared" si="3"/>
        <v>1.1579999999999999</v>
      </c>
    </row>
    <row r="17" spans="1:18" x14ac:dyDescent="0.25">
      <c r="A17">
        <v>3.5</v>
      </c>
      <c r="B17">
        <f>IF(A17&lt;=B$3, A17*B$5, (B$2-A17)*B$6)</f>
        <v>460.25</v>
      </c>
      <c r="C17">
        <f t="shared" si="1"/>
        <v>131.5</v>
      </c>
      <c r="D17">
        <f t="shared" si="2"/>
        <v>3.0224525043177897</v>
      </c>
      <c r="E17">
        <f t="shared" si="3"/>
        <v>1.1579999999999999</v>
      </c>
    </row>
    <row r="18" spans="1:18" x14ac:dyDescent="0.25">
      <c r="A18">
        <v>4</v>
      </c>
      <c r="B18">
        <f t="shared" ref="B18:B30" si="4">IF(A18&lt;=B$3, A18*B$5, (B$2-A18)*B$6)</f>
        <v>526</v>
      </c>
      <c r="C18">
        <f>IF(A18&lt;=B$3, B$5, -B$6)</f>
        <v>131.5</v>
      </c>
      <c r="D18">
        <f>B18/(C18*B$4)</f>
        <v>3.4542314335060453</v>
      </c>
      <c r="E18">
        <f t="shared" si="3"/>
        <v>1.1579999999999999</v>
      </c>
    </row>
    <row r="19" spans="1:18" x14ac:dyDescent="0.25">
      <c r="A19">
        <v>4.0000010000000001</v>
      </c>
      <c r="B19">
        <f t="shared" si="4"/>
        <v>526.00013150000007</v>
      </c>
      <c r="C19">
        <f t="shared" ref="C19:C30" si="5">IF(A19&lt;=B$3, B$5, -B$6)</f>
        <v>131.5</v>
      </c>
      <c r="D19">
        <f>B19/(C19*B$4)</f>
        <v>3.4542322970639039</v>
      </c>
      <c r="E19">
        <f>A19/D19</f>
        <v>1.1579999999999999</v>
      </c>
    </row>
    <row r="20" spans="1:18" x14ac:dyDescent="0.25">
      <c r="A20">
        <v>4.5</v>
      </c>
      <c r="B20">
        <f t="shared" si="4"/>
        <v>591.75</v>
      </c>
      <c r="C20">
        <f t="shared" si="5"/>
        <v>131.5</v>
      </c>
      <c r="D20">
        <f>B20/(C20*B$4)</f>
        <v>3.886010362694301</v>
      </c>
      <c r="E20">
        <f t="shared" si="3"/>
        <v>1.1579999999999999</v>
      </c>
    </row>
    <row r="21" spans="1:18" x14ac:dyDescent="0.25">
      <c r="A21">
        <v>4.5000010000000001</v>
      </c>
      <c r="B21">
        <f t="shared" si="4"/>
        <v>591.74986849999993</v>
      </c>
      <c r="C21">
        <f t="shared" si="5"/>
        <v>-131.5</v>
      </c>
      <c r="D21">
        <f t="shared" si="2"/>
        <v>-3.886009499136442</v>
      </c>
      <c r="E21">
        <f t="shared" si="3"/>
        <v>-1.1580005146667811</v>
      </c>
    </row>
    <row r="22" spans="1:18" x14ac:dyDescent="0.25">
      <c r="A22">
        <v>5</v>
      </c>
      <c r="B22">
        <f t="shared" si="4"/>
        <v>526</v>
      </c>
      <c r="C22">
        <f t="shared" si="5"/>
        <v>-131.5</v>
      </c>
      <c r="D22">
        <f t="shared" si="2"/>
        <v>-3.4542314335060453</v>
      </c>
      <c r="E22">
        <f t="shared" si="3"/>
        <v>-1.4474999999999998</v>
      </c>
    </row>
    <row r="23" spans="1:18" x14ac:dyDescent="0.25">
      <c r="A23">
        <v>5.5</v>
      </c>
      <c r="B23">
        <f t="shared" si="4"/>
        <v>460.25</v>
      </c>
      <c r="C23">
        <f t="shared" si="5"/>
        <v>-131.5</v>
      </c>
      <c r="D23">
        <f t="shared" si="2"/>
        <v>-3.0224525043177897</v>
      </c>
      <c r="E23">
        <f t="shared" si="3"/>
        <v>-1.8197142857142854</v>
      </c>
    </row>
    <row r="24" spans="1:18" x14ac:dyDescent="0.25">
      <c r="A24">
        <v>6</v>
      </c>
      <c r="B24">
        <f t="shared" si="4"/>
        <v>394.5</v>
      </c>
      <c r="C24">
        <f t="shared" si="5"/>
        <v>-131.5</v>
      </c>
      <c r="D24">
        <f t="shared" si="2"/>
        <v>-2.590673575129534</v>
      </c>
      <c r="E24">
        <f t="shared" si="3"/>
        <v>-2.3159999999999998</v>
      </c>
    </row>
    <row r="25" spans="1:18" x14ac:dyDescent="0.25">
      <c r="A25">
        <v>6.5</v>
      </c>
      <c r="B25">
        <f t="shared" si="4"/>
        <v>328.75</v>
      </c>
      <c r="C25">
        <f t="shared" si="5"/>
        <v>-131.5</v>
      </c>
      <c r="D25">
        <f t="shared" si="2"/>
        <v>-2.1588946459412783</v>
      </c>
      <c r="E25">
        <f t="shared" si="3"/>
        <v>-3.0107999999999997</v>
      </c>
    </row>
    <row r="26" spans="1:18" x14ac:dyDescent="0.25">
      <c r="A26">
        <v>7</v>
      </c>
      <c r="B26">
        <f t="shared" si="4"/>
        <v>263</v>
      </c>
      <c r="C26">
        <f t="shared" si="5"/>
        <v>-131.5</v>
      </c>
      <c r="D26">
        <f t="shared" si="2"/>
        <v>-1.7271157167530227</v>
      </c>
      <c r="E26">
        <f t="shared" si="3"/>
        <v>-4.0529999999999999</v>
      </c>
      <c r="P26" t="s">
        <v>21</v>
      </c>
      <c r="Q26">
        <v>0.3</v>
      </c>
      <c r="R26" t="s">
        <v>5</v>
      </c>
    </row>
    <row r="27" spans="1:18" x14ac:dyDescent="0.25">
      <c r="A27">
        <v>7.5</v>
      </c>
      <c r="B27">
        <f t="shared" si="4"/>
        <v>197.25</v>
      </c>
      <c r="C27">
        <f t="shared" si="5"/>
        <v>-131.5</v>
      </c>
      <c r="D27">
        <f t="shared" si="2"/>
        <v>-1.295336787564767</v>
      </c>
      <c r="E27">
        <f t="shared" si="3"/>
        <v>-5.7899999999999991</v>
      </c>
      <c r="P27" t="s">
        <v>20</v>
      </c>
      <c r="Q27">
        <v>1.2</v>
      </c>
      <c r="R27" t="s">
        <v>5</v>
      </c>
    </row>
    <row r="28" spans="1:18" x14ac:dyDescent="0.25">
      <c r="A28">
        <v>8</v>
      </c>
      <c r="B28">
        <f t="shared" si="4"/>
        <v>131.5</v>
      </c>
      <c r="C28">
        <f t="shared" si="5"/>
        <v>-131.5</v>
      </c>
      <c r="D28">
        <f t="shared" si="2"/>
        <v>-0.86355785837651133</v>
      </c>
      <c r="E28">
        <f t="shared" si="3"/>
        <v>-9.2639999999999993</v>
      </c>
      <c r="P28" t="s">
        <v>22</v>
      </c>
      <c r="Q28">
        <v>2450</v>
      </c>
      <c r="R28" t="s">
        <v>26</v>
      </c>
    </row>
    <row r="29" spans="1:18" x14ac:dyDescent="0.25">
      <c r="A29">
        <v>8.5</v>
      </c>
      <c r="B29">
        <f t="shared" si="4"/>
        <v>65.75</v>
      </c>
      <c r="C29">
        <f t="shared" si="5"/>
        <v>-131.5</v>
      </c>
      <c r="D29">
        <f t="shared" si="2"/>
        <v>-0.43177892918825567</v>
      </c>
      <c r="E29">
        <f t="shared" si="3"/>
        <v>-19.685999999999996</v>
      </c>
      <c r="P29" t="s">
        <v>25</v>
      </c>
      <c r="Q29">
        <v>9.81</v>
      </c>
      <c r="R29" t="s">
        <v>27</v>
      </c>
    </row>
    <row r="30" spans="1:18" x14ac:dyDescent="0.25">
      <c r="A30">
        <v>9</v>
      </c>
      <c r="B30">
        <f t="shared" si="4"/>
        <v>0</v>
      </c>
      <c r="C30">
        <f t="shared" si="5"/>
        <v>-131.5</v>
      </c>
      <c r="D30">
        <f t="shared" si="2"/>
        <v>0</v>
      </c>
      <c r="P30" t="s">
        <v>23</v>
      </c>
      <c r="Q30">
        <f>Q26*Q27*Q28*Q29/1000</f>
        <v>8.6524199999999993</v>
      </c>
      <c r="R30" t="s">
        <v>24</v>
      </c>
    </row>
    <row r="31" spans="1:18" x14ac:dyDescent="0.25">
      <c r="P31" t="s">
        <v>28</v>
      </c>
      <c r="Q31">
        <f>Q30*B2/2</f>
        <v>38.935890000000001</v>
      </c>
      <c r="R31" t="s">
        <v>6</v>
      </c>
    </row>
    <row r="32" spans="1:18" x14ac:dyDescent="0.25">
      <c r="P32" t="s">
        <v>30</v>
      </c>
      <c r="Q32">
        <f>(4.5-1)/4.5*Q31</f>
        <v>30.283470000000001</v>
      </c>
      <c r="R32" t="s">
        <v>6</v>
      </c>
    </row>
    <row r="33" spans="16:19" x14ac:dyDescent="0.25">
      <c r="P33" t="s">
        <v>29</v>
      </c>
      <c r="Q33">
        <f>(4.5-2)/4.5*Q31</f>
        <v>21.631050000000002</v>
      </c>
      <c r="R33" t="s">
        <v>6</v>
      </c>
      <c r="S33" t="s">
        <v>31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E7CE-5536-4560-8D21-83A49B324B40}">
  <sheetPr codeName="Sheet10"/>
  <dimension ref="A1:S33"/>
  <sheetViews>
    <sheetView workbookViewId="0"/>
  </sheetViews>
  <sheetFormatPr defaultRowHeight="15" x14ac:dyDescent="0.25"/>
  <sheetData>
    <row r="1" spans="1:5" x14ac:dyDescent="0.25">
      <c r="A1" s="2" t="s">
        <v>0</v>
      </c>
      <c r="B1">
        <v>346</v>
      </c>
      <c r="C1" t="s">
        <v>6</v>
      </c>
      <c r="D1" s="2" t="s">
        <v>35</v>
      </c>
      <c r="E1">
        <f>C9/B1</f>
        <v>0.5</v>
      </c>
    </row>
    <row r="2" spans="1:5" x14ac:dyDescent="0.25">
      <c r="A2" s="2" t="s">
        <v>4</v>
      </c>
      <c r="B2">
        <v>9</v>
      </c>
      <c r="C2" t="s">
        <v>5</v>
      </c>
      <c r="D2" s="2"/>
    </row>
    <row r="3" spans="1:5" x14ac:dyDescent="0.25">
      <c r="A3" s="2" t="s">
        <v>7</v>
      </c>
      <c r="B3">
        <v>4.5</v>
      </c>
      <c r="C3" t="s">
        <v>5</v>
      </c>
    </row>
    <row r="4" spans="1:5" x14ac:dyDescent="0.25">
      <c r="A4" s="2" t="s">
        <v>9</v>
      </c>
      <c r="B4">
        <v>1.1579999999999999</v>
      </c>
      <c r="C4" t="s">
        <v>5</v>
      </c>
    </row>
    <row r="5" spans="1:5" x14ac:dyDescent="0.25">
      <c r="A5" s="2" t="s">
        <v>12</v>
      </c>
      <c r="B5">
        <f>(B2-B3)/B2*B1</f>
        <v>173</v>
      </c>
      <c r="C5" t="s">
        <v>6</v>
      </c>
    </row>
    <row r="6" spans="1:5" x14ac:dyDescent="0.25">
      <c r="A6" s="2" t="s">
        <v>13</v>
      </c>
      <c r="B6">
        <f>B3/B2*B1</f>
        <v>173</v>
      </c>
      <c r="C6" t="s">
        <v>6</v>
      </c>
    </row>
    <row r="8" spans="1:5" x14ac:dyDescent="0.25">
      <c r="A8" s="2" t="s">
        <v>2</v>
      </c>
      <c r="B8" s="2" t="s">
        <v>3</v>
      </c>
      <c r="C8" s="2" t="s">
        <v>8</v>
      </c>
      <c r="D8" s="2" t="s">
        <v>10</v>
      </c>
    </row>
    <row r="9" spans="1:5" x14ac:dyDescent="0.25">
      <c r="A9">
        <v>0</v>
      </c>
      <c r="B9">
        <f t="shared" ref="B9:B16" si="0">IF(A9&lt;=B$3, A9*B$5, (B$2-A9)*B$6)</f>
        <v>0</v>
      </c>
      <c r="C9">
        <f>IF(A9&lt;=B$3, B$5, -B$6)</f>
        <v>173</v>
      </c>
      <c r="D9">
        <f>B9/(C9*B$4)</f>
        <v>0</v>
      </c>
    </row>
    <row r="10" spans="1:5" x14ac:dyDescent="0.25">
      <c r="A10">
        <v>0.5</v>
      </c>
      <c r="B10">
        <f t="shared" si="0"/>
        <v>86.5</v>
      </c>
      <c r="C10">
        <f t="shared" ref="C10:C17" si="1">IF(A10&lt;=B$3, B$5, -B$6)</f>
        <v>173</v>
      </c>
      <c r="D10">
        <f t="shared" ref="D10:D30" si="2">B10/(C10*B$4)</f>
        <v>0.43177892918825567</v>
      </c>
      <c r="E10">
        <f>A10/D10</f>
        <v>1.1579999999999999</v>
      </c>
    </row>
    <row r="11" spans="1:5" x14ac:dyDescent="0.25">
      <c r="A11">
        <v>1</v>
      </c>
      <c r="B11">
        <f t="shared" si="0"/>
        <v>173</v>
      </c>
      <c r="C11">
        <f t="shared" si="1"/>
        <v>173</v>
      </c>
      <c r="D11">
        <f t="shared" si="2"/>
        <v>0.86355785837651133</v>
      </c>
      <c r="E11">
        <f t="shared" ref="E11:E29" si="3">A11/D11</f>
        <v>1.1579999999999999</v>
      </c>
    </row>
    <row r="12" spans="1:5" x14ac:dyDescent="0.25">
      <c r="A12">
        <v>1.5</v>
      </c>
      <c r="B12">
        <f t="shared" si="0"/>
        <v>259.5</v>
      </c>
      <c r="C12">
        <f t="shared" si="1"/>
        <v>173</v>
      </c>
      <c r="D12">
        <f t="shared" si="2"/>
        <v>1.295336787564767</v>
      </c>
      <c r="E12">
        <f t="shared" si="3"/>
        <v>1.1579999999999999</v>
      </c>
    </row>
    <row r="13" spans="1:5" x14ac:dyDescent="0.25">
      <c r="A13">
        <v>2</v>
      </c>
      <c r="B13">
        <f t="shared" si="0"/>
        <v>346</v>
      </c>
      <c r="C13">
        <f t="shared" si="1"/>
        <v>173</v>
      </c>
      <c r="D13">
        <f t="shared" si="2"/>
        <v>1.7271157167530227</v>
      </c>
      <c r="E13">
        <f t="shared" si="3"/>
        <v>1.1579999999999999</v>
      </c>
    </row>
    <row r="14" spans="1:5" x14ac:dyDescent="0.25">
      <c r="A14">
        <v>2.5</v>
      </c>
      <c r="B14">
        <f t="shared" si="0"/>
        <v>432.5</v>
      </c>
      <c r="C14">
        <f t="shared" si="1"/>
        <v>173</v>
      </c>
      <c r="D14">
        <f t="shared" si="2"/>
        <v>2.1588946459412783</v>
      </c>
      <c r="E14">
        <f t="shared" si="3"/>
        <v>1.1579999999999999</v>
      </c>
    </row>
    <row r="15" spans="1:5" x14ac:dyDescent="0.25">
      <c r="A15">
        <v>3</v>
      </c>
      <c r="B15">
        <f t="shared" si="0"/>
        <v>519</v>
      </c>
      <c r="C15">
        <f t="shared" si="1"/>
        <v>173</v>
      </c>
      <c r="D15">
        <f t="shared" si="2"/>
        <v>2.590673575129534</v>
      </c>
      <c r="E15">
        <f t="shared" si="3"/>
        <v>1.1579999999999999</v>
      </c>
    </row>
    <row r="16" spans="1:5" x14ac:dyDescent="0.25">
      <c r="A16">
        <v>3.0000010000000001</v>
      </c>
      <c r="B16">
        <f t="shared" si="0"/>
        <v>519.00017300000002</v>
      </c>
      <c r="C16">
        <f t="shared" si="1"/>
        <v>173</v>
      </c>
      <c r="D16">
        <f t="shared" si="2"/>
        <v>2.5906744386873926</v>
      </c>
      <c r="E16">
        <f t="shared" si="3"/>
        <v>1.1579999999999999</v>
      </c>
    </row>
    <row r="17" spans="1:18" x14ac:dyDescent="0.25">
      <c r="A17">
        <v>3.5</v>
      </c>
      <c r="B17">
        <f>IF(A17&lt;=B$3, A17*B$5, (B$2-A17)*B$6)</f>
        <v>605.5</v>
      </c>
      <c r="C17">
        <f t="shared" si="1"/>
        <v>173</v>
      </c>
      <c r="D17">
        <f t="shared" si="2"/>
        <v>3.0224525043177897</v>
      </c>
      <c r="E17">
        <f t="shared" si="3"/>
        <v>1.1579999999999999</v>
      </c>
    </row>
    <row r="18" spans="1:18" x14ac:dyDescent="0.25">
      <c r="A18">
        <v>4</v>
      </c>
      <c r="B18">
        <f t="shared" ref="B18:B30" si="4">IF(A18&lt;=B$3, A18*B$5, (B$2-A18)*B$6)</f>
        <v>692</v>
      </c>
      <c r="C18">
        <f>IF(A18&lt;=B$3, B$5, -B$6)</f>
        <v>173</v>
      </c>
      <c r="D18">
        <f>B18/(C18*B$4)</f>
        <v>3.4542314335060453</v>
      </c>
      <c r="E18">
        <f t="shared" si="3"/>
        <v>1.1579999999999999</v>
      </c>
    </row>
    <row r="19" spans="1:18" x14ac:dyDescent="0.25">
      <c r="A19">
        <v>4.0000010000000001</v>
      </c>
      <c r="B19">
        <f t="shared" si="4"/>
        <v>692.00017300000002</v>
      </c>
      <c r="C19">
        <f t="shared" ref="C19:C30" si="5">IF(A19&lt;=B$3, B$5, -B$6)</f>
        <v>173</v>
      </c>
      <c r="D19">
        <f>B19/(C19*B$4)</f>
        <v>3.4542322970639039</v>
      </c>
      <c r="E19">
        <f>A19/D19</f>
        <v>1.1579999999999999</v>
      </c>
    </row>
    <row r="20" spans="1:18" x14ac:dyDescent="0.25">
      <c r="A20">
        <v>4.5</v>
      </c>
      <c r="B20">
        <f t="shared" si="4"/>
        <v>778.5</v>
      </c>
      <c r="C20">
        <f t="shared" si="5"/>
        <v>173</v>
      </c>
      <c r="D20">
        <f>B20/(C20*B$4)</f>
        <v>3.886010362694301</v>
      </c>
      <c r="E20">
        <f t="shared" si="3"/>
        <v>1.1579999999999999</v>
      </c>
    </row>
    <row r="21" spans="1:18" x14ac:dyDescent="0.25">
      <c r="A21">
        <v>4.5000010000000001</v>
      </c>
      <c r="B21">
        <f t="shared" si="4"/>
        <v>778.49982699999998</v>
      </c>
      <c r="C21">
        <f t="shared" si="5"/>
        <v>-173</v>
      </c>
      <c r="D21">
        <f t="shared" si="2"/>
        <v>-3.8860094991364424</v>
      </c>
      <c r="E21">
        <f t="shared" si="3"/>
        <v>-1.1580005146667809</v>
      </c>
    </row>
    <row r="22" spans="1:18" x14ac:dyDescent="0.25">
      <c r="A22">
        <v>5</v>
      </c>
      <c r="B22">
        <f t="shared" si="4"/>
        <v>692</v>
      </c>
      <c r="C22">
        <f t="shared" si="5"/>
        <v>-173</v>
      </c>
      <c r="D22">
        <f t="shared" si="2"/>
        <v>-3.4542314335060453</v>
      </c>
      <c r="E22">
        <f t="shared" si="3"/>
        <v>-1.4474999999999998</v>
      </c>
    </row>
    <row r="23" spans="1:18" x14ac:dyDescent="0.25">
      <c r="A23">
        <v>5.5</v>
      </c>
      <c r="B23">
        <f t="shared" si="4"/>
        <v>605.5</v>
      </c>
      <c r="C23">
        <f t="shared" si="5"/>
        <v>-173</v>
      </c>
      <c r="D23">
        <f t="shared" si="2"/>
        <v>-3.0224525043177897</v>
      </c>
      <c r="E23">
        <f t="shared" si="3"/>
        <v>-1.8197142857142854</v>
      </c>
    </row>
    <row r="24" spans="1:18" x14ac:dyDescent="0.25">
      <c r="A24">
        <v>6</v>
      </c>
      <c r="B24">
        <f t="shared" si="4"/>
        <v>519</v>
      </c>
      <c r="C24">
        <f t="shared" si="5"/>
        <v>-173</v>
      </c>
      <c r="D24">
        <f t="shared" si="2"/>
        <v>-2.590673575129534</v>
      </c>
      <c r="E24">
        <f t="shared" si="3"/>
        <v>-2.3159999999999998</v>
      </c>
    </row>
    <row r="25" spans="1:18" x14ac:dyDescent="0.25">
      <c r="A25">
        <v>6.5</v>
      </c>
      <c r="B25">
        <f t="shared" si="4"/>
        <v>432.5</v>
      </c>
      <c r="C25">
        <f t="shared" si="5"/>
        <v>-173</v>
      </c>
      <c r="D25">
        <f t="shared" si="2"/>
        <v>-2.1588946459412783</v>
      </c>
      <c r="E25">
        <f t="shared" si="3"/>
        <v>-3.0107999999999997</v>
      </c>
    </row>
    <row r="26" spans="1:18" x14ac:dyDescent="0.25">
      <c r="A26">
        <v>7</v>
      </c>
      <c r="B26">
        <f t="shared" si="4"/>
        <v>346</v>
      </c>
      <c r="C26">
        <f t="shared" si="5"/>
        <v>-173</v>
      </c>
      <c r="D26">
        <f t="shared" si="2"/>
        <v>-1.7271157167530227</v>
      </c>
      <c r="E26">
        <f t="shared" si="3"/>
        <v>-4.0529999999999999</v>
      </c>
      <c r="P26" t="s">
        <v>21</v>
      </c>
      <c r="Q26">
        <v>0.3</v>
      </c>
      <c r="R26" t="s">
        <v>5</v>
      </c>
    </row>
    <row r="27" spans="1:18" x14ac:dyDescent="0.25">
      <c r="A27">
        <v>7.5</v>
      </c>
      <c r="B27">
        <f t="shared" si="4"/>
        <v>259.5</v>
      </c>
      <c r="C27">
        <f t="shared" si="5"/>
        <v>-173</v>
      </c>
      <c r="D27">
        <f t="shared" si="2"/>
        <v>-1.295336787564767</v>
      </c>
      <c r="E27">
        <f t="shared" si="3"/>
        <v>-5.7899999999999991</v>
      </c>
      <c r="P27" t="s">
        <v>20</v>
      </c>
      <c r="Q27">
        <v>1.2</v>
      </c>
      <c r="R27" t="s">
        <v>5</v>
      </c>
    </row>
    <row r="28" spans="1:18" x14ac:dyDescent="0.25">
      <c r="A28">
        <v>8</v>
      </c>
      <c r="B28">
        <f t="shared" si="4"/>
        <v>173</v>
      </c>
      <c r="C28">
        <f t="shared" si="5"/>
        <v>-173</v>
      </c>
      <c r="D28">
        <f t="shared" si="2"/>
        <v>-0.86355785837651133</v>
      </c>
      <c r="E28">
        <f t="shared" si="3"/>
        <v>-9.2639999999999993</v>
      </c>
      <c r="P28" t="s">
        <v>22</v>
      </c>
      <c r="Q28">
        <v>2450</v>
      </c>
      <c r="R28" t="s">
        <v>26</v>
      </c>
    </row>
    <row r="29" spans="1:18" x14ac:dyDescent="0.25">
      <c r="A29">
        <v>8.5</v>
      </c>
      <c r="B29">
        <f t="shared" si="4"/>
        <v>86.5</v>
      </c>
      <c r="C29">
        <f t="shared" si="5"/>
        <v>-173</v>
      </c>
      <c r="D29">
        <f t="shared" si="2"/>
        <v>-0.43177892918825567</v>
      </c>
      <c r="E29">
        <f t="shared" si="3"/>
        <v>-19.685999999999996</v>
      </c>
      <c r="P29" t="s">
        <v>25</v>
      </c>
      <c r="Q29">
        <v>9.81</v>
      </c>
      <c r="R29" t="s">
        <v>27</v>
      </c>
    </row>
    <row r="30" spans="1:18" x14ac:dyDescent="0.25">
      <c r="A30">
        <v>9</v>
      </c>
      <c r="B30">
        <f t="shared" si="4"/>
        <v>0</v>
      </c>
      <c r="C30">
        <f t="shared" si="5"/>
        <v>-173</v>
      </c>
      <c r="D30">
        <f t="shared" si="2"/>
        <v>0</v>
      </c>
      <c r="P30" t="s">
        <v>23</v>
      </c>
      <c r="Q30">
        <f>Q26*Q27*Q28*Q29/1000</f>
        <v>8.6524199999999993</v>
      </c>
      <c r="R30" t="s">
        <v>24</v>
      </c>
    </row>
    <row r="31" spans="1:18" x14ac:dyDescent="0.25">
      <c r="P31" t="s">
        <v>28</v>
      </c>
      <c r="Q31">
        <f>Q30*B2/2</f>
        <v>38.935890000000001</v>
      </c>
      <c r="R31" t="s">
        <v>6</v>
      </c>
    </row>
    <row r="32" spans="1:18" x14ac:dyDescent="0.25">
      <c r="P32" t="s">
        <v>30</v>
      </c>
      <c r="Q32">
        <f>(4.5-1)/4.5*Q31</f>
        <v>30.283470000000001</v>
      </c>
      <c r="R32" t="s">
        <v>6</v>
      </c>
    </row>
    <row r="33" spans="16:19" x14ac:dyDescent="0.25">
      <c r="P33" t="s">
        <v>29</v>
      </c>
      <c r="Q33">
        <f>(4.5-2)/4.5*Q31</f>
        <v>21.631050000000002</v>
      </c>
      <c r="R33" t="s">
        <v>6</v>
      </c>
      <c r="S33" t="s">
        <v>31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E92D-0A10-46F9-8FF2-3F61BA60A9D2}">
  <sheetPr codeName="Sheet11"/>
  <dimension ref="A1:S33"/>
  <sheetViews>
    <sheetView workbookViewId="0"/>
  </sheetViews>
  <sheetFormatPr defaultRowHeight="15" x14ac:dyDescent="0.25"/>
  <sheetData>
    <row r="1" spans="1:5" x14ac:dyDescent="0.25">
      <c r="A1" s="2" t="s">
        <v>0</v>
      </c>
      <c r="B1">
        <v>269</v>
      </c>
      <c r="C1" t="s">
        <v>6</v>
      </c>
      <c r="D1" s="2" t="s">
        <v>35</v>
      </c>
      <c r="E1">
        <f>C9/B1</f>
        <v>0.55555555555555558</v>
      </c>
    </row>
    <row r="2" spans="1:5" x14ac:dyDescent="0.25">
      <c r="A2" s="2" t="s">
        <v>4</v>
      </c>
      <c r="B2">
        <v>9</v>
      </c>
      <c r="C2" t="s">
        <v>5</v>
      </c>
      <c r="D2" s="2"/>
    </row>
    <row r="3" spans="1:5" x14ac:dyDescent="0.25">
      <c r="A3" s="2" t="s">
        <v>7</v>
      </c>
      <c r="B3">
        <v>4</v>
      </c>
      <c r="C3" t="s">
        <v>5</v>
      </c>
    </row>
    <row r="4" spans="1:5" x14ac:dyDescent="0.25">
      <c r="A4" s="2" t="s">
        <v>9</v>
      </c>
      <c r="B4">
        <v>1.1579999999999999</v>
      </c>
      <c r="C4" t="s">
        <v>5</v>
      </c>
    </row>
    <row r="5" spans="1:5" x14ac:dyDescent="0.25">
      <c r="A5" s="2" t="s">
        <v>12</v>
      </c>
      <c r="B5">
        <f>(B2-B3)/B2*B1</f>
        <v>149.44444444444446</v>
      </c>
      <c r="C5" t="s">
        <v>6</v>
      </c>
    </row>
    <row r="6" spans="1:5" x14ac:dyDescent="0.25">
      <c r="A6" s="2" t="s">
        <v>13</v>
      </c>
      <c r="B6">
        <f>B3/B2*B1</f>
        <v>119.55555555555554</v>
      </c>
      <c r="C6" t="s">
        <v>6</v>
      </c>
    </row>
    <row r="8" spans="1:5" x14ac:dyDescent="0.25">
      <c r="A8" s="2" t="s">
        <v>2</v>
      </c>
      <c r="B8" s="2" t="s">
        <v>3</v>
      </c>
      <c r="C8" s="2" t="s">
        <v>8</v>
      </c>
      <c r="D8" s="2" t="s">
        <v>10</v>
      </c>
    </row>
    <row r="9" spans="1:5" x14ac:dyDescent="0.25">
      <c r="A9">
        <v>0</v>
      </c>
      <c r="B9">
        <f t="shared" ref="B9:B16" si="0">IF(A9&lt;=B$3, A9*B$5, (B$2-A9)*B$6)</f>
        <v>0</v>
      </c>
      <c r="C9">
        <f>IF(A9&lt;=B$3, B$5, -B$6)</f>
        <v>149.44444444444446</v>
      </c>
      <c r="D9">
        <f>B9/(C9*B$4)</f>
        <v>0</v>
      </c>
    </row>
    <row r="10" spans="1:5" x14ac:dyDescent="0.25">
      <c r="A10">
        <v>0.5</v>
      </c>
      <c r="B10">
        <f t="shared" si="0"/>
        <v>74.722222222222229</v>
      </c>
      <c r="C10">
        <f t="shared" ref="C10:C17" si="1">IF(A10&lt;=B$3, B$5, -B$6)</f>
        <v>149.44444444444446</v>
      </c>
      <c r="D10">
        <f t="shared" ref="D10:D30" si="2">B10/(C10*B$4)</f>
        <v>0.43177892918825561</v>
      </c>
      <c r="E10">
        <f>A10/D10</f>
        <v>1.1579999999999999</v>
      </c>
    </row>
    <row r="11" spans="1:5" x14ac:dyDescent="0.25">
      <c r="A11">
        <v>1</v>
      </c>
      <c r="B11">
        <f t="shared" si="0"/>
        <v>149.44444444444446</v>
      </c>
      <c r="C11">
        <f t="shared" si="1"/>
        <v>149.44444444444446</v>
      </c>
      <c r="D11">
        <f t="shared" si="2"/>
        <v>0.86355785837651122</v>
      </c>
      <c r="E11">
        <f t="shared" ref="E11:E29" si="3">A11/D11</f>
        <v>1.1579999999999999</v>
      </c>
    </row>
    <row r="12" spans="1:5" x14ac:dyDescent="0.25">
      <c r="A12">
        <v>1.5</v>
      </c>
      <c r="B12">
        <f t="shared" si="0"/>
        <v>224.16666666666669</v>
      </c>
      <c r="C12">
        <f t="shared" si="1"/>
        <v>149.44444444444446</v>
      </c>
      <c r="D12">
        <f t="shared" si="2"/>
        <v>1.295336787564767</v>
      </c>
      <c r="E12">
        <f t="shared" si="3"/>
        <v>1.1579999999999999</v>
      </c>
    </row>
    <row r="13" spans="1:5" x14ac:dyDescent="0.25">
      <c r="A13">
        <v>2</v>
      </c>
      <c r="B13">
        <f t="shared" si="0"/>
        <v>298.88888888888891</v>
      </c>
      <c r="C13">
        <f t="shared" si="1"/>
        <v>149.44444444444446</v>
      </c>
      <c r="D13">
        <f t="shared" si="2"/>
        <v>1.7271157167530224</v>
      </c>
      <c r="E13">
        <f t="shared" si="3"/>
        <v>1.1579999999999999</v>
      </c>
    </row>
    <row r="14" spans="1:5" x14ac:dyDescent="0.25">
      <c r="A14">
        <v>2.5</v>
      </c>
      <c r="B14">
        <f t="shared" si="0"/>
        <v>373.61111111111114</v>
      </c>
      <c r="C14">
        <f t="shared" si="1"/>
        <v>149.44444444444446</v>
      </c>
      <c r="D14">
        <f t="shared" si="2"/>
        <v>2.1588946459412783</v>
      </c>
      <c r="E14">
        <f t="shared" si="3"/>
        <v>1.1579999999999999</v>
      </c>
    </row>
    <row r="15" spans="1:5" x14ac:dyDescent="0.25">
      <c r="A15">
        <v>3</v>
      </c>
      <c r="B15">
        <f t="shared" si="0"/>
        <v>448.33333333333337</v>
      </c>
      <c r="C15">
        <f t="shared" si="1"/>
        <v>149.44444444444446</v>
      </c>
      <c r="D15">
        <f t="shared" si="2"/>
        <v>2.590673575129534</v>
      </c>
      <c r="E15">
        <f t="shared" si="3"/>
        <v>1.1579999999999999</v>
      </c>
    </row>
    <row r="16" spans="1:5" x14ac:dyDescent="0.25">
      <c r="A16">
        <v>3.0000010000000001</v>
      </c>
      <c r="B16">
        <f t="shared" si="0"/>
        <v>448.33348277777782</v>
      </c>
      <c r="C16">
        <f t="shared" si="1"/>
        <v>149.44444444444446</v>
      </c>
      <c r="D16">
        <f t="shared" si="2"/>
        <v>2.5906744386873921</v>
      </c>
      <c r="E16">
        <f t="shared" si="3"/>
        <v>1.1579999999999999</v>
      </c>
    </row>
    <row r="17" spans="1:18" x14ac:dyDescent="0.25">
      <c r="A17">
        <v>3.5</v>
      </c>
      <c r="B17">
        <f>IF(A17&lt;=B$3, A17*B$5, (B$2-A17)*B$6)</f>
        <v>523.05555555555566</v>
      </c>
      <c r="C17">
        <f t="shared" si="1"/>
        <v>149.44444444444446</v>
      </c>
      <c r="D17">
        <f t="shared" si="2"/>
        <v>3.0224525043177897</v>
      </c>
      <c r="E17">
        <f t="shared" si="3"/>
        <v>1.1579999999999999</v>
      </c>
    </row>
    <row r="18" spans="1:18" x14ac:dyDescent="0.25">
      <c r="A18">
        <v>4</v>
      </c>
      <c r="B18">
        <f t="shared" ref="B18:B30" si="4">IF(A18&lt;=B$3, A18*B$5, (B$2-A18)*B$6)</f>
        <v>597.77777777777783</v>
      </c>
      <c r="C18">
        <f>IF(A18&lt;=B$3, B$5, -B$6)</f>
        <v>149.44444444444446</v>
      </c>
      <c r="D18">
        <f>B18/(C18*B$4)</f>
        <v>3.4542314335060449</v>
      </c>
      <c r="E18">
        <f t="shared" si="3"/>
        <v>1.1579999999999999</v>
      </c>
    </row>
    <row r="19" spans="1:18" x14ac:dyDescent="0.25">
      <c r="A19">
        <v>4.0000010000000001</v>
      </c>
      <c r="B19">
        <f t="shared" si="4"/>
        <v>597.77765822222216</v>
      </c>
      <c r="C19">
        <f t="shared" ref="C19:C30" si="5">IF(A19&lt;=B$3, B$5, -B$6)</f>
        <v>-119.55555555555554</v>
      </c>
      <c r="D19">
        <f>B19/(C19*B$4)</f>
        <v>-4.3177884283246977</v>
      </c>
      <c r="E19">
        <f>A19/D19</f>
        <v>-0.92640041688008345</v>
      </c>
    </row>
    <row r="20" spans="1:18" x14ac:dyDescent="0.25">
      <c r="A20">
        <v>4.5</v>
      </c>
      <c r="B20">
        <f t="shared" si="4"/>
        <v>538</v>
      </c>
      <c r="C20">
        <f t="shared" si="5"/>
        <v>-119.55555555555554</v>
      </c>
      <c r="D20">
        <f>B20/(C20*B$4)</f>
        <v>-3.886010362694301</v>
      </c>
      <c r="E20">
        <f t="shared" si="3"/>
        <v>-1.1579999999999999</v>
      </c>
    </row>
    <row r="21" spans="1:18" x14ac:dyDescent="0.25">
      <c r="A21">
        <v>4.5000010000000001</v>
      </c>
      <c r="B21">
        <f t="shared" si="4"/>
        <v>537.99988044444433</v>
      </c>
      <c r="C21">
        <f t="shared" si="5"/>
        <v>-119.55555555555554</v>
      </c>
      <c r="D21">
        <f t="shared" si="2"/>
        <v>-3.886009499136442</v>
      </c>
      <c r="E21">
        <f t="shared" si="3"/>
        <v>-1.1580005146667811</v>
      </c>
    </row>
    <row r="22" spans="1:18" x14ac:dyDescent="0.25">
      <c r="A22">
        <v>5</v>
      </c>
      <c r="B22">
        <f t="shared" si="4"/>
        <v>478.22222222222217</v>
      </c>
      <c r="C22">
        <f t="shared" si="5"/>
        <v>-119.55555555555554</v>
      </c>
      <c r="D22">
        <f t="shared" si="2"/>
        <v>-3.4542314335060453</v>
      </c>
      <c r="E22">
        <f t="shared" si="3"/>
        <v>-1.4474999999999998</v>
      </c>
    </row>
    <row r="23" spans="1:18" x14ac:dyDescent="0.25">
      <c r="A23">
        <v>5.5</v>
      </c>
      <c r="B23">
        <f t="shared" si="4"/>
        <v>418.4444444444444</v>
      </c>
      <c r="C23">
        <f t="shared" si="5"/>
        <v>-119.55555555555554</v>
      </c>
      <c r="D23">
        <f t="shared" si="2"/>
        <v>-3.0224525043177897</v>
      </c>
      <c r="E23">
        <f t="shared" si="3"/>
        <v>-1.8197142857142854</v>
      </c>
    </row>
    <row r="24" spans="1:18" x14ac:dyDescent="0.25">
      <c r="A24">
        <v>6</v>
      </c>
      <c r="B24">
        <f t="shared" si="4"/>
        <v>358.66666666666663</v>
      </c>
      <c r="C24">
        <f t="shared" si="5"/>
        <v>-119.55555555555554</v>
      </c>
      <c r="D24">
        <f t="shared" si="2"/>
        <v>-2.590673575129534</v>
      </c>
      <c r="E24">
        <f t="shared" si="3"/>
        <v>-2.3159999999999998</v>
      </c>
    </row>
    <row r="25" spans="1:18" x14ac:dyDescent="0.25">
      <c r="A25">
        <v>6.5</v>
      </c>
      <c r="B25">
        <f t="shared" si="4"/>
        <v>298.88888888888886</v>
      </c>
      <c r="C25">
        <f t="shared" si="5"/>
        <v>-119.55555555555554</v>
      </c>
      <c r="D25">
        <f t="shared" si="2"/>
        <v>-2.1588946459412783</v>
      </c>
      <c r="E25">
        <f t="shared" si="3"/>
        <v>-3.0107999999999997</v>
      </c>
    </row>
    <row r="26" spans="1:18" x14ac:dyDescent="0.25">
      <c r="A26">
        <v>7</v>
      </c>
      <c r="B26">
        <f t="shared" si="4"/>
        <v>239.11111111111109</v>
      </c>
      <c r="C26">
        <f t="shared" si="5"/>
        <v>-119.55555555555554</v>
      </c>
      <c r="D26">
        <f t="shared" si="2"/>
        <v>-1.7271157167530227</v>
      </c>
      <c r="E26">
        <f t="shared" si="3"/>
        <v>-4.0529999999999999</v>
      </c>
      <c r="P26" t="s">
        <v>21</v>
      </c>
      <c r="Q26">
        <v>0.3</v>
      </c>
      <c r="R26" t="s">
        <v>5</v>
      </c>
    </row>
    <row r="27" spans="1:18" x14ac:dyDescent="0.25">
      <c r="A27">
        <v>7.5</v>
      </c>
      <c r="B27">
        <f t="shared" si="4"/>
        <v>179.33333333333331</v>
      </c>
      <c r="C27">
        <f t="shared" si="5"/>
        <v>-119.55555555555554</v>
      </c>
      <c r="D27">
        <f t="shared" si="2"/>
        <v>-1.295336787564767</v>
      </c>
      <c r="E27">
        <f t="shared" si="3"/>
        <v>-5.7899999999999991</v>
      </c>
      <c r="P27" t="s">
        <v>20</v>
      </c>
      <c r="Q27">
        <v>1.2</v>
      </c>
      <c r="R27" t="s">
        <v>5</v>
      </c>
    </row>
    <row r="28" spans="1:18" x14ac:dyDescent="0.25">
      <c r="A28">
        <v>8</v>
      </c>
      <c r="B28">
        <f t="shared" si="4"/>
        <v>119.55555555555554</v>
      </c>
      <c r="C28">
        <f t="shared" si="5"/>
        <v>-119.55555555555554</v>
      </c>
      <c r="D28">
        <f t="shared" si="2"/>
        <v>-0.86355785837651133</v>
      </c>
      <c r="E28">
        <f t="shared" si="3"/>
        <v>-9.2639999999999993</v>
      </c>
      <c r="P28" t="s">
        <v>22</v>
      </c>
      <c r="Q28">
        <v>2450</v>
      </c>
      <c r="R28" t="s">
        <v>26</v>
      </c>
    </row>
    <row r="29" spans="1:18" x14ac:dyDescent="0.25">
      <c r="A29">
        <v>8.5</v>
      </c>
      <c r="B29">
        <f t="shared" si="4"/>
        <v>59.777777777777771</v>
      </c>
      <c r="C29">
        <f t="shared" si="5"/>
        <v>-119.55555555555554</v>
      </c>
      <c r="D29">
        <f t="shared" si="2"/>
        <v>-0.43177892918825567</v>
      </c>
      <c r="E29">
        <f t="shared" si="3"/>
        <v>-19.685999999999996</v>
      </c>
      <c r="P29" t="s">
        <v>25</v>
      </c>
      <c r="Q29">
        <v>9.81</v>
      </c>
      <c r="R29" t="s">
        <v>27</v>
      </c>
    </row>
    <row r="30" spans="1:18" x14ac:dyDescent="0.25">
      <c r="A30">
        <v>9</v>
      </c>
      <c r="B30">
        <f t="shared" si="4"/>
        <v>0</v>
      </c>
      <c r="C30">
        <f t="shared" si="5"/>
        <v>-119.55555555555554</v>
      </c>
      <c r="D30">
        <f t="shared" si="2"/>
        <v>0</v>
      </c>
      <c r="P30" t="s">
        <v>23</v>
      </c>
      <c r="Q30">
        <f>Q26*Q27*Q28*Q29/1000</f>
        <v>8.6524199999999993</v>
      </c>
      <c r="R30" t="s">
        <v>24</v>
      </c>
    </row>
    <row r="31" spans="1:18" x14ac:dyDescent="0.25">
      <c r="P31" t="s">
        <v>28</v>
      </c>
      <c r="Q31">
        <f>Q30*B2/2</f>
        <v>38.935890000000001</v>
      </c>
      <c r="R31" t="s">
        <v>6</v>
      </c>
    </row>
    <row r="32" spans="1:18" x14ac:dyDescent="0.25">
      <c r="P32" t="s">
        <v>30</v>
      </c>
      <c r="Q32">
        <f>(4.5-1)/4.5*Q31</f>
        <v>30.283470000000001</v>
      </c>
      <c r="R32" t="s">
        <v>6</v>
      </c>
    </row>
    <row r="33" spans="16:19" x14ac:dyDescent="0.25">
      <c r="P33" t="s">
        <v>29</v>
      </c>
      <c r="Q33">
        <f>(4.5-2)/4.5*Q31</f>
        <v>21.631050000000002</v>
      </c>
      <c r="R33" t="s">
        <v>6</v>
      </c>
      <c r="S33" t="s">
        <v>31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60BE-3404-450D-A548-EC700EA473A3}">
  <sheetPr codeName="Sheet1"/>
  <dimension ref="A1:S33"/>
  <sheetViews>
    <sheetView workbookViewId="0"/>
  </sheetViews>
  <sheetFormatPr defaultRowHeight="15" x14ac:dyDescent="0.25"/>
  <sheetData>
    <row r="1" spans="1:6" x14ac:dyDescent="0.25">
      <c r="A1" s="2" t="s">
        <v>0</v>
      </c>
      <c r="B1">
        <v>306</v>
      </c>
      <c r="C1" t="s">
        <v>6</v>
      </c>
      <c r="D1" s="2" t="s">
        <v>35</v>
      </c>
      <c r="E1">
        <f>C9/B1</f>
        <v>0.5</v>
      </c>
    </row>
    <row r="2" spans="1:6" x14ac:dyDescent="0.25">
      <c r="A2" s="2" t="s">
        <v>4</v>
      </c>
      <c r="B2">
        <v>9</v>
      </c>
      <c r="C2" t="s">
        <v>5</v>
      </c>
    </row>
    <row r="3" spans="1:6" x14ac:dyDescent="0.25">
      <c r="A3" s="2" t="s">
        <v>7</v>
      </c>
      <c r="B3">
        <v>4.5</v>
      </c>
      <c r="C3" t="s">
        <v>5</v>
      </c>
    </row>
    <row r="4" spans="1:6" x14ac:dyDescent="0.25">
      <c r="A4" s="2" t="s">
        <v>9</v>
      </c>
      <c r="B4">
        <v>1.1579999999999999</v>
      </c>
      <c r="C4" t="s">
        <v>5</v>
      </c>
    </row>
    <row r="5" spans="1:6" x14ac:dyDescent="0.25">
      <c r="A5" s="2" t="s">
        <v>12</v>
      </c>
      <c r="B5">
        <f>(B2-B3)/B2*B1</f>
        <v>153</v>
      </c>
      <c r="C5" t="s">
        <v>6</v>
      </c>
    </row>
    <row r="6" spans="1:6" x14ac:dyDescent="0.25">
      <c r="A6" s="2" t="s">
        <v>13</v>
      </c>
      <c r="B6">
        <f>B3/B2*B1</f>
        <v>153</v>
      </c>
      <c r="C6" t="s">
        <v>6</v>
      </c>
    </row>
    <row r="8" spans="1:6" x14ac:dyDescent="0.25">
      <c r="A8" s="2" t="s">
        <v>2</v>
      </c>
      <c r="B8" s="2" t="s">
        <v>3</v>
      </c>
      <c r="C8" s="2" t="s">
        <v>8</v>
      </c>
      <c r="D8" s="2" t="s">
        <v>10</v>
      </c>
      <c r="F8" s="2"/>
    </row>
    <row r="9" spans="1:6" x14ac:dyDescent="0.25">
      <c r="A9">
        <v>0</v>
      </c>
      <c r="B9">
        <f t="shared" ref="B9:B16" si="0">IF(A9&lt;=B$3, A9*B$5, (B$2-A9)*B$6)</f>
        <v>0</v>
      </c>
      <c r="C9">
        <f>IF(A9&lt;=B$3, B$5, -B$6)</f>
        <v>153</v>
      </c>
      <c r="D9">
        <f>B9/(C9*B$4)</f>
        <v>0</v>
      </c>
    </row>
    <row r="10" spans="1:6" x14ac:dyDescent="0.25">
      <c r="A10">
        <v>0.5</v>
      </c>
      <c r="B10">
        <f t="shared" si="0"/>
        <v>76.5</v>
      </c>
      <c r="C10">
        <f t="shared" ref="C10:C17" si="1">IF(A10&lt;=B$3, B$5, -B$6)</f>
        <v>153</v>
      </c>
      <c r="D10">
        <f t="shared" ref="D10:D27" si="2">B10/(C10*B$4)</f>
        <v>0.43177892918825567</v>
      </c>
      <c r="E10">
        <f>A10/D10</f>
        <v>1.1579999999999999</v>
      </c>
    </row>
    <row r="11" spans="1:6" x14ac:dyDescent="0.25">
      <c r="A11">
        <v>1</v>
      </c>
      <c r="B11">
        <f t="shared" si="0"/>
        <v>153</v>
      </c>
      <c r="C11">
        <f t="shared" si="1"/>
        <v>153</v>
      </c>
      <c r="D11">
        <f t="shared" si="2"/>
        <v>0.86355785837651133</v>
      </c>
      <c r="E11">
        <f t="shared" ref="E11:E27" si="3">A11/D11</f>
        <v>1.1579999999999999</v>
      </c>
    </row>
    <row r="12" spans="1:6" x14ac:dyDescent="0.25">
      <c r="A12">
        <v>1.5</v>
      </c>
      <c r="B12">
        <f t="shared" si="0"/>
        <v>229.5</v>
      </c>
      <c r="C12">
        <f t="shared" si="1"/>
        <v>153</v>
      </c>
      <c r="D12">
        <f t="shared" si="2"/>
        <v>1.295336787564767</v>
      </c>
      <c r="E12">
        <f t="shared" si="3"/>
        <v>1.1579999999999999</v>
      </c>
    </row>
    <row r="13" spans="1:6" x14ac:dyDescent="0.25">
      <c r="A13">
        <v>2</v>
      </c>
      <c r="B13">
        <f t="shared" si="0"/>
        <v>306</v>
      </c>
      <c r="C13">
        <f t="shared" si="1"/>
        <v>153</v>
      </c>
      <c r="D13">
        <f t="shared" si="2"/>
        <v>1.7271157167530227</v>
      </c>
      <c r="E13">
        <f t="shared" si="3"/>
        <v>1.1579999999999999</v>
      </c>
    </row>
    <row r="14" spans="1:6" x14ac:dyDescent="0.25">
      <c r="A14">
        <v>2.5</v>
      </c>
      <c r="B14">
        <f t="shared" si="0"/>
        <v>382.5</v>
      </c>
      <c r="C14">
        <f t="shared" si="1"/>
        <v>153</v>
      </c>
      <c r="D14">
        <f t="shared" si="2"/>
        <v>2.1588946459412783</v>
      </c>
      <c r="E14">
        <f t="shared" si="3"/>
        <v>1.1579999999999999</v>
      </c>
    </row>
    <row r="15" spans="1:6" x14ac:dyDescent="0.25">
      <c r="A15">
        <v>3</v>
      </c>
      <c r="B15">
        <f t="shared" si="0"/>
        <v>459</v>
      </c>
      <c r="C15">
        <f t="shared" si="1"/>
        <v>153</v>
      </c>
      <c r="D15">
        <f t="shared" si="2"/>
        <v>2.590673575129534</v>
      </c>
      <c r="E15">
        <f t="shared" si="3"/>
        <v>1.1579999999999999</v>
      </c>
    </row>
    <row r="16" spans="1:6" x14ac:dyDescent="0.25">
      <c r="A16">
        <v>3.0000010000000001</v>
      </c>
      <c r="B16">
        <f t="shared" si="0"/>
        <v>459.00015300000001</v>
      </c>
      <c r="C16">
        <f t="shared" si="1"/>
        <v>153</v>
      </c>
      <c r="D16">
        <f t="shared" si="2"/>
        <v>2.5906744386873926</v>
      </c>
      <c r="E16">
        <f t="shared" si="3"/>
        <v>1.1579999999999999</v>
      </c>
    </row>
    <row r="17" spans="1:18" x14ac:dyDescent="0.25">
      <c r="A17">
        <v>3.5</v>
      </c>
      <c r="B17">
        <f>IF(A17&lt;=B$3, A17*B$5, (B$2-A17)*B$6)</f>
        <v>535.5</v>
      </c>
      <c r="C17">
        <f t="shared" si="1"/>
        <v>153</v>
      </c>
      <c r="D17">
        <f t="shared" si="2"/>
        <v>3.0224525043177897</v>
      </c>
      <c r="E17">
        <f t="shared" si="3"/>
        <v>1.1579999999999999</v>
      </c>
    </row>
    <row r="18" spans="1:18" x14ac:dyDescent="0.25">
      <c r="A18">
        <v>4</v>
      </c>
      <c r="B18">
        <f t="shared" ref="B18:B30" si="4">IF(A18&lt;=B$3, A18*B$5, (B$2-A18)*B$6)</f>
        <v>612</v>
      </c>
      <c r="C18">
        <f>IF(A18&lt;=B$3, B$5, -B$6)</f>
        <v>153</v>
      </c>
      <c r="D18">
        <f>B18/(C18*B$4)</f>
        <v>3.4542314335060453</v>
      </c>
      <c r="E18">
        <f t="shared" si="3"/>
        <v>1.1579999999999999</v>
      </c>
    </row>
    <row r="19" spans="1:18" x14ac:dyDescent="0.25">
      <c r="A19">
        <v>4.0000010000000001</v>
      </c>
      <c r="B19">
        <f t="shared" si="4"/>
        <v>612.00015300000007</v>
      </c>
      <c r="C19">
        <f t="shared" ref="C19:C27" si="5">IF(A19&lt;=B$3, B$5, -B$6)</f>
        <v>153</v>
      </c>
      <c r="D19">
        <f>B19/(C19*B$4)</f>
        <v>3.4542322970639039</v>
      </c>
      <c r="E19">
        <f>A19/D19</f>
        <v>1.1579999999999999</v>
      </c>
    </row>
    <row r="20" spans="1:18" x14ac:dyDescent="0.25">
      <c r="A20">
        <v>4.5</v>
      </c>
      <c r="B20">
        <f t="shared" si="4"/>
        <v>688.5</v>
      </c>
      <c r="C20">
        <f t="shared" si="5"/>
        <v>153</v>
      </c>
      <c r="D20">
        <f>B20/(C20*B$4)</f>
        <v>3.886010362694301</v>
      </c>
      <c r="E20">
        <f t="shared" si="3"/>
        <v>1.1579999999999999</v>
      </c>
    </row>
    <row r="21" spans="1:18" x14ac:dyDescent="0.25">
      <c r="A21">
        <v>4.5000010000000001</v>
      </c>
      <c r="B21">
        <f t="shared" si="4"/>
        <v>688.49984699999993</v>
      </c>
      <c r="C21">
        <f t="shared" si="5"/>
        <v>-153</v>
      </c>
      <c r="D21">
        <f t="shared" si="2"/>
        <v>-3.8860094991364424</v>
      </c>
      <c r="E21">
        <f t="shared" si="3"/>
        <v>-1.1580005146667809</v>
      </c>
    </row>
    <row r="22" spans="1:18" x14ac:dyDescent="0.25">
      <c r="A22">
        <v>5</v>
      </c>
      <c r="B22">
        <f t="shared" si="4"/>
        <v>612</v>
      </c>
      <c r="C22">
        <f t="shared" si="5"/>
        <v>-153</v>
      </c>
      <c r="D22">
        <f t="shared" si="2"/>
        <v>-3.4542314335060453</v>
      </c>
      <c r="E22">
        <f t="shared" si="3"/>
        <v>-1.4474999999999998</v>
      </c>
    </row>
    <row r="23" spans="1:18" x14ac:dyDescent="0.25">
      <c r="A23">
        <v>5.5</v>
      </c>
      <c r="B23">
        <f t="shared" si="4"/>
        <v>535.5</v>
      </c>
      <c r="C23">
        <f t="shared" si="5"/>
        <v>-153</v>
      </c>
      <c r="D23">
        <f t="shared" si="2"/>
        <v>-3.0224525043177897</v>
      </c>
      <c r="E23">
        <f t="shared" si="3"/>
        <v>-1.8197142857142854</v>
      </c>
    </row>
    <row r="24" spans="1:18" x14ac:dyDescent="0.25">
      <c r="A24">
        <v>6</v>
      </c>
      <c r="B24">
        <f t="shared" si="4"/>
        <v>459</v>
      </c>
      <c r="C24">
        <f t="shared" si="5"/>
        <v>-153</v>
      </c>
      <c r="D24">
        <f t="shared" si="2"/>
        <v>-2.590673575129534</v>
      </c>
      <c r="E24">
        <f t="shared" si="3"/>
        <v>-2.3159999999999998</v>
      </c>
    </row>
    <row r="25" spans="1:18" x14ac:dyDescent="0.25">
      <c r="A25">
        <v>6.5</v>
      </c>
      <c r="B25">
        <f t="shared" si="4"/>
        <v>382.5</v>
      </c>
      <c r="C25">
        <f t="shared" si="5"/>
        <v>-153</v>
      </c>
      <c r="D25">
        <f t="shared" si="2"/>
        <v>-2.1588946459412783</v>
      </c>
      <c r="E25">
        <f t="shared" si="3"/>
        <v>-3.0107999999999997</v>
      </c>
    </row>
    <row r="26" spans="1:18" x14ac:dyDescent="0.25">
      <c r="A26">
        <v>7</v>
      </c>
      <c r="B26">
        <f t="shared" si="4"/>
        <v>306</v>
      </c>
      <c r="C26">
        <f t="shared" si="5"/>
        <v>-153</v>
      </c>
      <c r="D26">
        <f t="shared" si="2"/>
        <v>-1.7271157167530227</v>
      </c>
      <c r="E26">
        <f t="shared" si="3"/>
        <v>-4.0529999999999999</v>
      </c>
      <c r="P26" t="s">
        <v>21</v>
      </c>
      <c r="Q26">
        <v>0.3</v>
      </c>
      <c r="R26" t="s">
        <v>5</v>
      </c>
    </row>
    <row r="27" spans="1:18" x14ac:dyDescent="0.25">
      <c r="A27">
        <v>7.5</v>
      </c>
      <c r="B27">
        <f t="shared" si="4"/>
        <v>229.5</v>
      </c>
      <c r="C27">
        <f t="shared" si="5"/>
        <v>-153</v>
      </c>
      <c r="D27">
        <f t="shared" si="2"/>
        <v>-1.295336787564767</v>
      </c>
      <c r="E27">
        <f t="shared" si="3"/>
        <v>-5.7899999999999991</v>
      </c>
      <c r="P27" t="s">
        <v>20</v>
      </c>
      <c r="Q27">
        <v>1.2</v>
      </c>
      <c r="R27" t="s">
        <v>5</v>
      </c>
    </row>
    <row r="28" spans="1:18" x14ac:dyDescent="0.25">
      <c r="A28">
        <v>8</v>
      </c>
      <c r="B28">
        <f t="shared" si="4"/>
        <v>153</v>
      </c>
      <c r="C28">
        <f t="shared" ref="C28:C30" si="6">IF(A28&lt;=B$3, B$5, -B$6)</f>
        <v>-153</v>
      </c>
      <c r="D28">
        <f t="shared" ref="D28:D30" si="7">B28/(C28*B$4)</f>
        <v>-0.86355785837651133</v>
      </c>
      <c r="E28">
        <f t="shared" ref="E28:E29" si="8">A28/D28</f>
        <v>-9.2639999999999993</v>
      </c>
      <c r="P28" t="s">
        <v>22</v>
      </c>
      <c r="Q28">
        <v>2450</v>
      </c>
      <c r="R28" t="s">
        <v>26</v>
      </c>
    </row>
    <row r="29" spans="1:18" x14ac:dyDescent="0.25">
      <c r="A29">
        <v>8.5</v>
      </c>
      <c r="B29">
        <f t="shared" si="4"/>
        <v>76.5</v>
      </c>
      <c r="C29">
        <f t="shared" si="6"/>
        <v>-153</v>
      </c>
      <c r="D29">
        <f t="shared" si="7"/>
        <v>-0.43177892918825567</v>
      </c>
      <c r="E29">
        <f t="shared" si="8"/>
        <v>-19.685999999999996</v>
      </c>
      <c r="P29" t="s">
        <v>25</v>
      </c>
      <c r="Q29">
        <v>9.81</v>
      </c>
      <c r="R29" t="s">
        <v>27</v>
      </c>
    </row>
    <row r="30" spans="1:18" x14ac:dyDescent="0.25">
      <c r="A30">
        <v>9</v>
      </c>
      <c r="B30">
        <f t="shared" si="4"/>
        <v>0</v>
      </c>
      <c r="C30">
        <f t="shared" si="6"/>
        <v>-153</v>
      </c>
      <c r="D30">
        <f t="shared" si="7"/>
        <v>0</v>
      </c>
      <c r="P30" t="s">
        <v>23</v>
      </c>
      <c r="Q30">
        <f>Q26*Q27*Q28*Q29/1000</f>
        <v>8.6524199999999993</v>
      </c>
      <c r="R30" t="s">
        <v>24</v>
      </c>
    </row>
    <row r="31" spans="1:18" x14ac:dyDescent="0.25">
      <c r="P31" t="s">
        <v>28</v>
      </c>
      <c r="Q31">
        <f>Q30*B2/2</f>
        <v>38.935890000000001</v>
      </c>
      <c r="R31" t="s">
        <v>6</v>
      </c>
    </row>
    <row r="32" spans="1:18" x14ac:dyDescent="0.25">
      <c r="P32" t="s">
        <v>30</v>
      </c>
      <c r="Q32">
        <f>(4.5-1)/4.5*Q31</f>
        <v>30.283470000000001</v>
      </c>
      <c r="R32" t="s">
        <v>6</v>
      </c>
    </row>
    <row r="33" spans="16:19" x14ac:dyDescent="0.25">
      <c r="P33" t="s">
        <v>29</v>
      </c>
      <c r="Q33">
        <f>(4.5-2)/4.5*Q31</f>
        <v>21.631050000000002</v>
      </c>
      <c r="R33" t="s">
        <v>6</v>
      </c>
      <c r="S33" t="s">
        <v>31</v>
      </c>
    </row>
  </sheetData>
  <sortState xmlns:xlrd2="http://schemas.microsoft.com/office/spreadsheetml/2017/richdata2" ref="C9:C17">
    <sortCondition descending="1" ref="C9:C17"/>
  </sortState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88BC-3D08-4DC8-8803-BB12C31DF45E}">
  <sheetPr codeName="Sheet6"/>
  <dimension ref="A1:BK52"/>
  <sheetViews>
    <sheetView zoomScaleNormal="100" workbookViewId="0"/>
  </sheetViews>
  <sheetFormatPr defaultRowHeight="15" x14ac:dyDescent="0.25"/>
  <sheetData>
    <row r="1" spans="1:62" x14ac:dyDescent="0.25">
      <c r="D1" s="2" t="s">
        <v>11</v>
      </c>
      <c r="E1">
        <v>0</v>
      </c>
      <c r="F1">
        <v>49</v>
      </c>
      <c r="G1">
        <v>49</v>
      </c>
      <c r="H1">
        <v>49</v>
      </c>
      <c r="I1">
        <v>49</v>
      </c>
      <c r="J1">
        <v>51</v>
      </c>
      <c r="K1">
        <v>52</v>
      </c>
      <c r="L1">
        <v>99</v>
      </c>
      <c r="M1">
        <v>99</v>
      </c>
      <c r="N1">
        <v>99</v>
      </c>
      <c r="O1">
        <v>124</v>
      </c>
      <c r="P1">
        <v>123</v>
      </c>
      <c r="Q1">
        <v>123</v>
      </c>
      <c r="R1">
        <v>149</v>
      </c>
      <c r="S1">
        <v>149</v>
      </c>
      <c r="T1">
        <v>148</v>
      </c>
      <c r="U1">
        <v>121</v>
      </c>
      <c r="V1">
        <v>142</v>
      </c>
      <c r="W1">
        <v>149</v>
      </c>
      <c r="X1">
        <v>149</v>
      </c>
      <c r="Y1">
        <v>149</v>
      </c>
      <c r="Z1">
        <v>172</v>
      </c>
      <c r="AA1">
        <v>172</v>
      </c>
      <c r="AB1">
        <v>172</v>
      </c>
      <c r="AC1">
        <v>175</v>
      </c>
      <c r="AD1">
        <v>173</v>
      </c>
      <c r="AE1">
        <v>173</v>
      </c>
      <c r="AF1">
        <v>157</v>
      </c>
      <c r="AG1">
        <v>189</v>
      </c>
      <c r="AH1">
        <v>198</v>
      </c>
      <c r="AI1">
        <v>198</v>
      </c>
      <c r="AJ1">
        <v>196</v>
      </c>
      <c r="AK1">
        <v>224</v>
      </c>
      <c r="AL1">
        <v>223</v>
      </c>
      <c r="AM1">
        <v>223</v>
      </c>
      <c r="AN1">
        <v>249</v>
      </c>
      <c r="AO1">
        <v>249</v>
      </c>
      <c r="AP1">
        <v>248</v>
      </c>
      <c r="AQ1">
        <v>274</v>
      </c>
      <c r="AR1">
        <v>274</v>
      </c>
      <c r="AS1">
        <v>274</v>
      </c>
      <c r="AT1">
        <v>254</v>
      </c>
      <c r="AU1">
        <v>279</v>
      </c>
      <c r="AV1">
        <v>282</v>
      </c>
      <c r="AW1">
        <v>283</v>
      </c>
      <c r="AX1">
        <v>286</v>
      </c>
      <c r="AY1">
        <v>291</v>
      </c>
      <c r="AZ1">
        <v>300</v>
      </c>
      <c r="BA1">
        <v>300</v>
      </c>
      <c r="BB1">
        <v>300</v>
      </c>
      <c r="BC1">
        <v>299</v>
      </c>
      <c r="BD1">
        <v>295</v>
      </c>
      <c r="BE1">
        <v>307</v>
      </c>
      <c r="BF1">
        <v>315</v>
      </c>
      <c r="BG1">
        <v>323</v>
      </c>
      <c r="BH1">
        <v>335</v>
      </c>
      <c r="BI1">
        <v>340</v>
      </c>
      <c r="BJ1">
        <v>341</v>
      </c>
    </row>
    <row r="2" spans="1:62" x14ac:dyDescent="0.25">
      <c r="A2" s="2" t="s">
        <v>10</v>
      </c>
      <c r="B2" s="2" t="s">
        <v>2</v>
      </c>
      <c r="C2" s="2" t="s">
        <v>37</v>
      </c>
      <c r="D2" s="2" t="s">
        <v>33</v>
      </c>
      <c r="E2">
        <f>30+E1*0.6666667</f>
        <v>30</v>
      </c>
      <c r="F2">
        <f t="shared" ref="F2:BJ2" si="0">30+F1*0.6666667</f>
        <v>62.666668299999998</v>
      </c>
      <c r="G2">
        <f t="shared" si="0"/>
        <v>62.666668299999998</v>
      </c>
      <c r="H2">
        <f t="shared" si="0"/>
        <v>62.666668299999998</v>
      </c>
      <c r="I2">
        <f t="shared" si="0"/>
        <v>62.666668299999998</v>
      </c>
      <c r="J2">
        <f t="shared" si="0"/>
        <v>64.000001699999999</v>
      </c>
      <c r="K2">
        <f t="shared" si="0"/>
        <v>64.666668399999992</v>
      </c>
      <c r="L2">
        <f t="shared" si="0"/>
        <v>96.000003299999989</v>
      </c>
      <c r="M2">
        <f t="shared" si="0"/>
        <v>96.000003299999989</v>
      </c>
      <c r="N2">
        <f t="shared" si="0"/>
        <v>96.000003299999989</v>
      </c>
      <c r="O2">
        <f t="shared" si="0"/>
        <v>112.66667079999999</v>
      </c>
      <c r="P2">
        <f t="shared" si="0"/>
        <v>112.0000041</v>
      </c>
      <c r="Q2">
        <f t="shared" si="0"/>
        <v>112.0000041</v>
      </c>
      <c r="R2">
        <f t="shared" si="0"/>
        <v>129.33333829999998</v>
      </c>
      <c r="S2">
        <f t="shared" si="0"/>
        <v>129.33333829999998</v>
      </c>
      <c r="T2">
        <f t="shared" si="0"/>
        <v>128.66667159999997</v>
      </c>
      <c r="U2">
        <f t="shared" si="0"/>
        <v>110.6666707</v>
      </c>
      <c r="V2">
        <f t="shared" si="0"/>
        <v>124.6666714</v>
      </c>
      <c r="W2">
        <f t="shared" si="0"/>
        <v>129.33333829999998</v>
      </c>
      <c r="X2">
        <f t="shared" si="0"/>
        <v>129.33333829999998</v>
      </c>
      <c r="Y2">
        <f t="shared" si="0"/>
        <v>129.33333829999998</v>
      </c>
      <c r="Z2">
        <f t="shared" si="0"/>
        <v>144.66667239999998</v>
      </c>
      <c r="AA2">
        <f t="shared" si="0"/>
        <v>144.66667239999998</v>
      </c>
      <c r="AB2">
        <f t="shared" si="0"/>
        <v>144.66667239999998</v>
      </c>
      <c r="AC2">
        <f t="shared" si="0"/>
        <v>146.6666725</v>
      </c>
      <c r="AD2">
        <f t="shared" si="0"/>
        <v>145.33333909999999</v>
      </c>
      <c r="AE2">
        <f t="shared" si="0"/>
        <v>145.33333909999999</v>
      </c>
      <c r="AF2">
        <f t="shared" si="0"/>
        <v>134.66667189999998</v>
      </c>
      <c r="AG2">
        <f t="shared" si="0"/>
        <v>156.0000063</v>
      </c>
      <c r="AH2">
        <f t="shared" si="0"/>
        <v>162.00000659999998</v>
      </c>
      <c r="AI2">
        <f t="shared" si="0"/>
        <v>162.00000659999998</v>
      </c>
      <c r="AJ2">
        <f t="shared" si="0"/>
        <v>160.66667319999999</v>
      </c>
      <c r="AK2">
        <f t="shared" si="0"/>
        <v>179.33334079999997</v>
      </c>
      <c r="AL2">
        <f t="shared" si="0"/>
        <v>178.66667409999999</v>
      </c>
      <c r="AM2">
        <f t="shared" si="0"/>
        <v>178.66667409999999</v>
      </c>
      <c r="AN2">
        <f t="shared" si="0"/>
        <v>196.00000829999999</v>
      </c>
      <c r="AO2">
        <f t="shared" si="0"/>
        <v>196.00000829999999</v>
      </c>
      <c r="AP2">
        <f t="shared" si="0"/>
        <v>195.33334159999998</v>
      </c>
      <c r="AQ2">
        <f t="shared" si="0"/>
        <v>212.66667579999998</v>
      </c>
      <c r="AR2">
        <f t="shared" si="0"/>
        <v>212.66667579999998</v>
      </c>
      <c r="AS2">
        <f t="shared" si="0"/>
        <v>212.66667579999998</v>
      </c>
      <c r="AT2">
        <f t="shared" si="0"/>
        <v>199.3333418</v>
      </c>
      <c r="AU2">
        <f t="shared" si="0"/>
        <v>216.00000929999999</v>
      </c>
      <c r="AV2">
        <f t="shared" si="0"/>
        <v>218.00000939999998</v>
      </c>
      <c r="AW2">
        <f t="shared" si="0"/>
        <v>218.66667609999999</v>
      </c>
      <c r="AX2">
        <f t="shared" si="0"/>
        <v>220.66667619999998</v>
      </c>
      <c r="AY2">
        <f t="shared" si="0"/>
        <v>224.00000969999999</v>
      </c>
      <c r="AZ2">
        <f t="shared" si="0"/>
        <v>230.00000999999997</v>
      </c>
      <c r="BA2">
        <f t="shared" si="0"/>
        <v>230.00000999999997</v>
      </c>
      <c r="BB2">
        <f t="shared" si="0"/>
        <v>230.00000999999997</v>
      </c>
      <c r="BC2">
        <f t="shared" si="0"/>
        <v>229.3333433</v>
      </c>
      <c r="BD2">
        <f t="shared" si="0"/>
        <v>226.66667649999999</v>
      </c>
      <c r="BE2">
        <f t="shared" si="0"/>
        <v>234.66667689999997</v>
      </c>
      <c r="BF2">
        <f t="shared" si="0"/>
        <v>240.00001049999997</v>
      </c>
      <c r="BG2">
        <f t="shared" si="0"/>
        <v>245.33334409999998</v>
      </c>
      <c r="BH2">
        <f t="shared" si="0"/>
        <v>253.33334449999998</v>
      </c>
      <c r="BI2">
        <f t="shared" si="0"/>
        <v>256.66667799999999</v>
      </c>
      <c r="BJ2">
        <f t="shared" si="0"/>
        <v>257.3333447</v>
      </c>
    </row>
    <row r="3" spans="1:62" x14ac:dyDescent="0.25">
      <c r="A3" s="5">
        <v>2.1913258808018998</v>
      </c>
      <c r="B3">
        <f>1.145*A3</f>
        <v>2.5090681335181753</v>
      </c>
      <c r="C3">
        <f>1/A3</f>
        <v>0.45634472205204696</v>
      </c>
      <c r="E3">
        <v>0</v>
      </c>
      <c r="F3">
        <v>2.4630224999999999E-2</v>
      </c>
      <c r="G3">
        <v>2.7348000000000001E-2</v>
      </c>
      <c r="H3">
        <v>7.3344999999999994E-2</v>
      </c>
      <c r="I3">
        <v>-1.3127499999999999E-3</v>
      </c>
      <c r="J3">
        <v>3.2033499999999999E-2</v>
      </c>
      <c r="K3">
        <v>3.3784250000000002E-2</v>
      </c>
      <c r="L3">
        <v>5.3307000000000097E-2</v>
      </c>
      <c r="M3">
        <v>5.1519250000000003E-2</v>
      </c>
      <c r="N3">
        <v>5.2803999999999997E-2</v>
      </c>
      <c r="O3">
        <v>9.8158999999999899E-2</v>
      </c>
      <c r="P3">
        <v>1.197325E-2</v>
      </c>
      <c r="Q3">
        <v>8.6976250000000005E-2</v>
      </c>
      <c r="R3">
        <v>1.153825E-2</v>
      </c>
      <c r="S3">
        <v>5.8314749999999999E-2</v>
      </c>
      <c r="T3">
        <v>6.3430500000000098E-2</v>
      </c>
      <c r="U3">
        <v>0.11634425</v>
      </c>
      <c r="V3">
        <v>0.13945350000000001</v>
      </c>
      <c r="W3">
        <v>8.1413000000000096E-2</v>
      </c>
      <c r="X3">
        <v>2.883175E-2</v>
      </c>
      <c r="Y3">
        <v>2.5812999999999999E-2</v>
      </c>
      <c r="Z3">
        <v>5.8256750000000003E-2</v>
      </c>
      <c r="AA3">
        <v>0.12568275000000001</v>
      </c>
      <c r="AB3">
        <v>5.8382500000000101E-2</v>
      </c>
      <c r="AC3">
        <v>0.16493374999999999</v>
      </c>
      <c r="AD3">
        <v>0.23403674999999999</v>
      </c>
      <c r="AE3">
        <v>0.19971975</v>
      </c>
      <c r="AF3">
        <v>0.41857149999999999</v>
      </c>
      <c r="AG3">
        <v>0.47238225</v>
      </c>
      <c r="AH3">
        <v>0.49106250000000001</v>
      </c>
      <c r="AI3">
        <v>0.48754750000000002</v>
      </c>
      <c r="AJ3">
        <v>0.40177750000000001</v>
      </c>
      <c r="AK3">
        <v>0.52452750000000004</v>
      </c>
      <c r="AL3">
        <v>0.53215749999999995</v>
      </c>
      <c r="AM3">
        <v>0.57735749999999997</v>
      </c>
      <c r="AN3">
        <v>0.66470499999999999</v>
      </c>
      <c r="AO3">
        <v>0.59377000000000002</v>
      </c>
      <c r="AP3">
        <v>0.59165000000000001</v>
      </c>
      <c r="AQ3">
        <v>0.70345749999999996</v>
      </c>
      <c r="AR3">
        <v>0.65250249999999999</v>
      </c>
      <c r="AS3">
        <v>0.66237500000000005</v>
      </c>
      <c r="AT3">
        <v>0.64298250000000001</v>
      </c>
      <c r="AU3">
        <v>0.70907500000000001</v>
      </c>
      <c r="AV3">
        <v>0.71024750000000003</v>
      </c>
      <c r="AW3">
        <v>0.715292500000001</v>
      </c>
      <c r="AX3">
        <v>0.7895375</v>
      </c>
      <c r="AY3">
        <v>0.72919500000000004</v>
      </c>
      <c r="AZ3">
        <v>0.74226500000000095</v>
      </c>
      <c r="BA3">
        <v>0.74430750000000101</v>
      </c>
      <c r="BB3">
        <v>0.64272750000000001</v>
      </c>
      <c r="BC3">
        <v>0.75942750000000003</v>
      </c>
      <c r="BD3">
        <v>0.64258749999999998</v>
      </c>
      <c r="BE3">
        <v>0.70837000000000006</v>
      </c>
      <c r="BF3">
        <v>0.71048500000000003</v>
      </c>
      <c r="BG3">
        <v>0.77342750000000005</v>
      </c>
      <c r="BH3">
        <v>0.75794499999999998</v>
      </c>
      <c r="BI3">
        <v>0.75151000000000001</v>
      </c>
      <c r="BJ3">
        <v>0.79567500000000002</v>
      </c>
    </row>
    <row r="4" spans="1:62" x14ac:dyDescent="0.25">
      <c r="A4" s="5">
        <v>2.1039896362604198</v>
      </c>
      <c r="B4">
        <f t="shared" ref="B4:B10" si="1">1.145*A4</f>
        <v>2.4090681335181805</v>
      </c>
      <c r="C4">
        <f t="shared" ref="C4:C10" si="2">1/A4</f>
        <v>0.47528751224144611</v>
      </c>
      <c r="E4">
        <v>0</v>
      </c>
      <c r="F4">
        <v>1.917075E-2</v>
      </c>
      <c r="G4">
        <v>2.8832E-2</v>
      </c>
      <c r="H4">
        <v>7.1740250000000005E-2</v>
      </c>
      <c r="I4">
        <v>-7.6335000000000196E-3</v>
      </c>
      <c r="J4">
        <v>2.8031E-2</v>
      </c>
      <c r="K4">
        <v>3.8178499999999997E-2</v>
      </c>
      <c r="L4">
        <v>4.6595750000000102E-2</v>
      </c>
      <c r="M4">
        <v>4.0829000000000101E-2</v>
      </c>
      <c r="N4">
        <v>5.1011000000000001E-2</v>
      </c>
      <c r="O4">
        <v>9.3864249999999996E-2</v>
      </c>
      <c r="P4">
        <v>6.16600000000001E-3</v>
      </c>
      <c r="Q4">
        <v>8.2742250000000003E-2</v>
      </c>
      <c r="R4">
        <v>2.4632499999999199E-3</v>
      </c>
      <c r="S4">
        <v>5.4266250000000002E-2</v>
      </c>
      <c r="T4">
        <v>5.8748749999999898E-2</v>
      </c>
      <c r="U4">
        <v>0.106784</v>
      </c>
      <c r="V4">
        <v>0.13049649999999999</v>
      </c>
      <c r="W4">
        <v>7.0312749999999896E-2</v>
      </c>
      <c r="X4">
        <v>2.0017500000000001E-2</v>
      </c>
      <c r="Y4">
        <v>1.6218250000000101E-2</v>
      </c>
      <c r="Z4">
        <v>4.6681500000000001E-2</v>
      </c>
      <c r="AA4">
        <v>0.114649</v>
      </c>
      <c r="AB4">
        <v>4.6329249999999898E-2</v>
      </c>
      <c r="AC4">
        <v>7.22E-2</v>
      </c>
      <c r="AD4">
        <v>0.14507999999999999</v>
      </c>
      <c r="AE4">
        <v>0.1078925</v>
      </c>
      <c r="AF4">
        <v>0.33913300000000002</v>
      </c>
      <c r="AG4">
        <v>0.41007250000000001</v>
      </c>
      <c r="AH4">
        <v>0.42412749999999999</v>
      </c>
      <c r="AI4">
        <v>0.42956749999999999</v>
      </c>
      <c r="AJ4">
        <v>0.34366999999999998</v>
      </c>
      <c r="AK4">
        <v>0.458845</v>
      </c>
      <c r="AL4">
        <v>0.46504250000000003</v>
      </c>
      <c r="AM4">
        <v>0.51636000000000004</v>
      </c>
      <c r="AN4">
        <v>0.59299250000000003</v>
      </c>
      <c r="AO4">
        <v>0.52156999999999998</v>
      </c>
      <c r="AP4">
        <v>0.52115500000000003</v>
      </c>
      <c r="AQ4">
        <v>0.63001499999999999</v>
      </c>
      <c r="AR4">
        <v>0.58069249999999994</v>
      </c>
      <c r="AS4">
        <v>0.58477749999999995</v>
      </c>
      <c r="AT4">
        <v>0.57421</v>
      </c>
      <c r="AU4">
        <v>0.63859500000000002</v>
      </c>
      <c r="AV4">
        <v>0.63391249999999999</v>
      </c>
      <c r="AW4">
        <v>0.639845</v>
      </c>
      <c r="AX4">
        <v>0.718225</v>
      </c>
      <c r="AY4">
        <v>0.65208750000000004</v>
      </c>
      <c r="AZ4">
        <v>0.66322499999999995</v>
      </c>
      <c r="BA4">
        <v>0.66545500000000002</v>
      </c>
      <c r="BB4">
        <v>0.55836750000000102</v>
      </c>
      <c r="BC4">
        <v>0.68328500000000003</v>
      </c>
      <c r="BD4">
        <v>0.56225999999999998</v>
      </c>
      <c r="BE4">
        <v>0.63109000000000004</v>
      </c>
      <c r="BF4">
        <v>0.62739500000000004</v>
      </c>
      <c r="BG4">
        <v>0.68574749999999995</v>
      </c>
      <c r="BH4">
        <v>0.66072249999999999</v>
      </c>
      <c r="BI4">
        <v>0.66159500000000104</v>
      </c>
      <c r="BJ4">
        <v>0.70280750000000103</v>
      </c>
    </row>
    <row r="5" spans="1:62" x14ac:dyDescent="0.25">
      <c r="A5" s="5">
        <v>2.01665339171893</v>
      </c>
      <c r="B5">
        <f t="shared" si="1"/>
        <v>2.3090681335181751</v>
      </c>
      <c r="C5">
        <f t="shared" si="2"/>
        <v>0.49587103272498029</v>
      </c>
      <c r="E5">
        <v>0</v>
      </c>
      <c r="F5">
        <v>2.1320499999999999E-2</v>
      </c>
      <c r="G5">
        <v>3.22905E-2</v>
      </c>
      <c r="H5">
        <v>7.7415250000000005E-2</v>
      </c>
      <c r="I5">
        <v>-1.2432500000000001E-2</v>
      </c>
      <c r="J5">
        <v>3.2512249999999999E-2</v>
      </c>
      <c r="K5">
        <v>3.4439999999999998E-2</v>
      </c>
      <c r="L5">
        <v>4.8000250000000001E-2</v>
      </c>
      <c r="M5">
        <v>4.0988749999999997E-2</v>
      </c>
      <c r="N5">
        <v>4.9411749999999997E-2</v>
      </c>
      <c r="O5">
        <v>9.1381500000000102E-2</v>
      </c>
      <c r="P5">
        <v>8.5449999999992498E-4</v>
      </c>
      <c r="Q5">
        <v>8.5194000000000006E-2</v>
      </c>
      <c r="R5">
        <v>-9.0587499999999505E-3</v>
      </c>
      <c r="S5">
        <v>4.7416E-2</v>
      </c>
      <c r="T5">
        <v>4.8934999999999999E-2</v>
      </c>
      <c r="U5">
        <v>0.10319225</v>
      </c>
      <c r="V5">
        <v>0.12711049999999999</v>
      </c>
      <c r="W5">
        <v>6.4872000000000193E-2</v>
      </c>
      <c r="X5">
        <v>8.6802500000000594E-3</v>
      </c>
      <c r="Y5">
        <v>6.4872500000000598E-3</v>
      </c>
      <c r="Z5">
        <v>3.4575750000000002E-2</v>
      </c>
      <c r="AA5">
        <v>0.10307975</v>
      </c>
      <c r="AB5">
        <v>3.37724999999999E-2</v>
      </c>
      <c r="AC5">
        <v>4.7585000000000197E-2</v>
      </c>
      <c r="AD5">
        <v>0.109265</v>
      </c>
      <c r="AE5">
        <v>6.6467499999999902E-2</v>
      </c>
      <c r="AF5">
        <v>0.29542750000000001</v>
      </c>
      <c r="AG5">
        <v>0.36634499999999998</v>
      </c>
      <c r="AH5">
        <v>0.38935750000000002</v>
      </c>
      <c r="AI5">
        <v>0.38653500000000002</v>
      </c>
      <c r="AJ5">
        <v>0.29006999999999999</v>
      </c>
      <c r="AK5">
        <v>0.41304249999999998</v>
      </c>
      <c r="AL5">
        <v>0.41555999999999998</v>
      </c>
      <c r="AM5">
        <v>0.47377000000000002</v>
      </c>
      <c r="AN5">
        <v>0.53490499999999996</v>
      </c>
      <c r="AO5">
        <v>0.46477499999999999</v>
      </c>
      <c r="AP5">
        <v>0.46236250000000001</v>
      </c>
      <c r="AQ5">
        <v>0.57381000000000004</v>
      </c>
      <c r="AR5">
        <v>0.52490000000000103</v>
      </c>
      <c r="AS5">
        <v>0.52381250000000001</v>
      </c>
      <c r="AT5">
        <v>0.52592250000000096</v>
      </c>
      <c r="AU5">
        <v>0.59014250000000001</v>
      </c>
      <c r="AV5">
        <v>0.58831999999999995</v>
      </c>
      <c r="AW5">
        <v>0.58955250000000003</v>
      </c>
      <c r="AX5">
        <v>0.67319499999999999</v>
      </c>
      <c r="AY5">
        <v>0.60056750000000003</v>
      </c>
      <c r="AZ5">
        <v>0.60952499999999998</v>
      </c>
      <c r="BA5">
        <v>0.61211000000000004</v>
      </c>
      <c r="BB5">
        <v>0.50170750000000097</v>
      </c>
      <c r="BC5">
        <v>0.63046250000000004</v>
      </c>
      <c r="BD5">
        <v>0.50068499999999905</v>
      </c>
      <c r="BE5">
        <v>0.5735325</v>
      </c>
      <c r="BF5">
        <v>0.56550750000000005</v>
      </c>
      <c r="BG5">
        <v>0.62609749999999997</v>
      </c>
      <c r="BH5">
        <v>0.58889250000000004</v>
      </c>
      <c r="BI5">
        <v>0.597055</v>
      </c>
      <c r="BJ5">
        <v>0.63976250000000001</v>
      </c>
    </row>
    <row r="6" spans="1:62" x14ac:dyDescent="0.25">
      <c r="A6" s="5">
        <v>1.92931714717745</v>
      </c>
      <c r="B6">
        <f t="shared" si="1"/>
        <v>2.2090681335181803</v>
      </c>
      <c r="C6">
        <f t="shared" si="2"/>
        <v>0.51831810102500708</v>
      </c>
      <c r="E6">
        <v>0</v>
      </c>
      <c r="F6">
        <v>1.343125E-2</v>
      </c>
      <c r="G6">
        <v>2.6853499999999999E-2</v>
      </c>
      <c r="H6">
        <v>7.1340500000000001E-2</v>
      </c>
      <c r="I6">
        <v>-2.3818499999999999E-2</v>
      </c>
      <c r="J6">
        <v>2.70105E-2</v>
      </c>
      <c r="K6">
        <v>2.2791499999999999E-2</v>
      </c>
      <c r="L6">
        <v>3.5530750000000097E-2</v>
      </c>
      <c r="M6">
        <v>3.435125E-2</v>
      </c>
      <c r="N6">
        <v>3.4921500000000001E-2</v>
      </c>
      <c r="O6">
        <v>7.9340499999999994E-2</v>
      </c>
      <c r="P6">
        <v>-1.1629250000000001E-2</v>
      </c>
      <c r="Q6">
        <v>7.3500750000000004E-2</v>
      </c>
      <c r="R6">
        <v>-2.176175E-2</v>
      </c>
      <c r="S6">
        <v>3.2021750000000099E-2</v>
      </c>
      <c r="T6">
        <v>3.4896249999999997E-2</v>
      </c>
      <c r="U6">
        <v>8.7815249999999997E-2</v>
      </c>
      <c r="V6">
        <v>0.11438125</v>
      </c>
      <c r="W6">
        <v>4.9766500000000102E-2</v>
      </c>
      <c r="X6">
        <v>-1.037475E-2</v>
      </c>
      <c r="Y6">
        <v>-1.4138E-2</v>
      </c>
      <c r="Z6">
        <v>8.1802500000001093E-3</v>
      </c>
      <c r="AA6">
        <v>8.4608749999999899E-2</v>
      </c>
      <c r="AB6">
        <v>1.0249750000000101E-2</v>
      </c>
      <c r="AC6">
        <v>1.6054999999999899E-2</v>
      </c>
      <c r="AD6">
        <v>7.0205000000000101E-2</v>
      </c>
      <c r="AE6">
        <v>2.4547499999999899E-2</v>
      </c>
      <c r="AF6">
        <v>0.24604000000000001</v>
      </c>
      <c r="AG6">
        <v>0.31964749999999997</v>
      </c>
      <c r="AH6">
        <v>0.33978000000000003</v>
      </c>
      <c r="AI6">
        <v>0.34003250000000002</v>
      </c>
      <c r="AJ6">
        <v>0.24164250000000001</v>
      </c>
      <c r="AK6">
        <v>0.385965</v>
      </c>
      <c r="AL6">
        <v>0.38487250000000001</v>
      </c>
      <c r="AM6">
        <v>0.45010499999999998</v>
      </c>
      <c r="AN6">
        <v>0.51420250000000001</v>
      </c>
      <c r="AO6">
        <v>0.44014999999999999</v>
      </c>
      <c r="AP6">
        <v>0.44476749999999998</v>
      </c>
      <c r="AQ6">
        <v>0.54436000000000095</v>
      </c>
      <c r="AR6">
        <v>0.49405500000000002</v>
      </c>
      <c r="AS6">
        <v>0.49100000000000099</v>
      </c>
      <c r="AT6">
        <v>0.491925</v>
      </c>
      <c r="AU6">
        <v>0.55276000000000003</v>
      </c>
      <c r="AV6">
        <v>0.55277500000000002</v>
      </c>
      <c r="AW6">
        <v>0.55274000000000001</v>
      </c>
      <c r="AX6">
        <v>0.636185</v>
      </c>
      <c r="AY6">
        <v>0.56738500000000003</v>
      </c>
      <c r="AZ6">
        <v>0.56997249999999999</v>
      </c>
      <c r="BA6">
        <v>0.57639249999999898</v>
      </c>
      <c r="BB6">
        <v>0.45963749999999998</v>
      </c>
      <c r="BC6">
        <v>0.59282500000000005</v>
      </c>
      <c r="BD6">
        <v>0.45723000000000003</v>
      </c>
      <c r="BE6">
        <v>0.53628750000000003</v>
      </c>
      <c r="BF6">
        <v>0.52511750000000001</v>
      </c>
      <c r="BG6">
        <v>0.58838999999999997</v>
      </c>
      <c r="BH6">
        <v>0.54266250000000005</v>
      </c>
      <c r="BI6">
        <v>0.55343500000000001</v>
      </c>
      <c r="BJ6">
        <v>0.60091749999999999</v>
      </c>
    </row>
    <row r="7" spans="1:62" x14ac:dyDescent="0.25">
      <c r="A7" s="5">
        <v>1.8419809026359599</v>
      </c>
      <c r="B7">
        <f t="shared" si="1"/>
        <v>2.109068133518174</v>
      </c>
      <c r="C7">
        <f t="shared" si="2"/>
        <v>0.54289379361585877</v>
      </c>
      <c r="E7">
        <v>0</v>
      </c>
      <c r="F7">
        <v>1.466375E-2</v>
      </c>
      <c r="G7">
        <v>2.5523500000000001E-2</v>
      </c>
      <c r="H7">
        <v>6.3964499999999994E-2</v>
      </c>
      <c r="I7">
        <v>-2.5784749999999999E-2</v>
      </c>
      <c r="J7">
        <v>2.8045E-2</v>
      </c>
      <c r="K7">
        <v>1.7955499999999999E-2</v>
      </c>
      <c r="L7">
        <v>3.0664250000000001E-2</v>
      </c>
      <c r="M7">
        <v>3.2695500000000002E-2</v>
      </c>
      <c r="N7">
        <v>3.6427500000000002E-2</v>
      </c>
      <c r="O7">
        <v>7.8459000000000001E-2</v>
      </c>
      <c r="P7">
        <v>-2.13035E-2</v>
      </c>
      <c r="Q7">
        <v>7.1016000000000107E-2</v>
      </c>
      <c r="R7">
        <v>-2.7813750000000002E-2</v>
      </c>
      <c r="S7">
        <v>2.2009500000000001E-2</v>
      </c>
      <c r="T7">
        <v>2.6406249999999999E-2</v>
      </c>
      <c r="U7">
        <v>7.9876000000000003E-2</v>
      </c>
      <c r="V7">
        <v>0.1073775</v>
      </c>
      <c r="W7">
        <v>3.9122999999999998E-2</v>
      </c>
      <c r="X7">
        <v>-2.6551000000000099E-2</v>
      </c>
      <c r="Y7">
        <v>-3.2021750000000002E-2</v>
      </c>
      <c r="Z7">
        <v>-7.9984999999999102E-3</v>
      </c>
      <c r="AA7">
        <v>7.4501250000000005E-2</v>
      </c>
      <c r="AB7">
        <v>-3.7460000000000301E-3</v>
      </c>
      <c r="AC7">
        <v>-2.11749999999999E-3</v>
      </c>
      <c r="AD7">
        <v>5.5022499999999801E-2</v>
      </c>
      <c r="AE7">
        <v>7.3400000000001199E-3</v>
      </c>
      <c r="AF7">
        <v>0.2311175</v>
      </c>
      <c r="AG7">
        <v>0.30438749999999998</v>
      </c>
      <c r="AH7">
        <v>0.32172499999999998</v>
      </c>
      <c r="AI7">
        <v>0.322855</v>
      </c>
      <c r="AJ7">
        <v>0.21177000000000001</v>
      </c>
      <c r="AK7">
        <v>0.35510000000000003</v>
      </c>
      <c r="AL7">
        <v>0.35451500000000002</v>
      </c>
      <c r="AM7">
        <v>0.42491000000000001</v>
      </c>
      <c r="AN7">
        <v>0.484265</v>
      </c>
      <c r="AO7">
        <v>0.40527249999999998</v>
      </c>
      <c r="AP7">
        <v>0.41401500000000002</v>
      </c>
      <c r="AQ7">
        <v>0.50680499999999995</v>
      </c>
      <c r="AR7">
        <v>0.45640999999999998</v>
      </c>
      <c r="AS7">
        <v>0.44700000000000001</v>
      </c>
      <c r="AT7">
        <v>0.44963500000000001</v>
      </c>
      <c r="AU7">
        <v>0.51230750000000003</v>
      </c>
      <c r="AV7">
        <v>0.51473000000000002</v>
      </c>
      <c r="AW7">
        <v>0.51358499999999996</v>
      </c>
      <c r="AX7">
        <v>0.60053999999999996</v>
      </c>
      <c r="AY7">
        <v>0.52209000000000005</v>
      </c>
      <c r="AZ7">
        <v>0.52898250000000002</v>
      </c>
      <c r="BA7">
        <v>0.53552999999999995</v>
      </c>
      <c r="BB7">
        <v>0.41502749999999999</v>
      </c>
      <c r="BC7">
        <v>0.54951249999999996</v>
      </c>
      <c r="BD7">
        <v>0.41252999999999901</v>
      </c>
      <c r="BE7">
        <v>0.48221000000000003</v>
      </c>
      <c r="BF7">
        <v>0.46587000000000001</v>
      </c>
      <c r="BG7">
        <v>0.5408425</v>
      </c>
      <c r="BH7">
        <v>0.49311500000000003</v>
      </c>
      <c r="BI7">
        <v>0.4992875</v>
      </c>
      <c r="BJ7">
        <v>0.55289999999999995</v>
      </c>
    </row>
    <row r="8" spans="1:62" x14ac:dyDescent="0.25">
      <c r="A8" s="5">
        <v>1.7546446580944799</v>
      </c>
      <c r="B8">
        <f t="shared" si="1"/>
        <v>2.0090681335181797</v>
      </c>
      <c r="C8">
        <f t="shared" si="2"/>
        <v>0.56991596297679226</v>
      </c>
      <c r="E8">
        <v>0</v>
      </c>
      <c r="F8">
        <v>2.83185E-2</v>
      </c>
      <c r="G8">
        <v>3.3794999999999999E-2</v>
      </c>
      <c r="H8">
        <v>8.3948999999999996E-2</v>
      </c>
      <c r="I8">
        <v>-6.4927499999999898E-3</v>
      </c>
      <c r="J8">
        <v>4.8098750000000003E-2</v>
      </c>
      <c r="K8">
        <v>3.1552499999999997E-2</v>
      </c>
      <c r="L8">
        <v>3.9810500000000103E-2</v>
      </c>
      <c r="M8">
        <v>5.3904250000000001E-2</v>
      </c>
      <c r="N8">
        <v>4.6065000000000002E-2</v>
      </c>
      <c r="O8">
        <v>0.10098475</v>
      </c>
      <c r="P8">
        <v>-2.416975E-2</v>
      </c>
      <c r="Q8">
        <v>8.3623749999999997E-2</v>
      </c>
      <c r="R8">
        <v>-2.470375E-2</v>
      </c>
      <c r="S8">
        <v>2.8581499999999999E-2</v>
      </c>
      <c r="T8">
        <v>2.4877E-2</v>
      </c>
      <c r="U8">
        <v>9.1522249999999999E-2</v>
      </c>
      <c r="V8">
        <v>0.115582</v>
      </c>
      <c r="W8">
        <v>4.1295499999999999E-2</v>
      </c>
      <c r="X8">
        <v>-2.7092499999999999E-2</v>
      </c>
      <c r="Y8">
        <v>-3.78317499999999E-2</v>
      </c>
      <c r="Z8">
        <v>-1.33057500000001E-2</v>
      </c>
      <c r="AA8">
        <v>7.5121999999999897E-2</v>
      </c>
      <c r="AB8">
        <v>-9.9389999999999201E-3</v>
      </c>
      <c r="AC8">
        <v>-1.41875E-2</v>
      </c>
      <c r="AD8">
        <v>4.9432499999999997E-2</v>
      </c>
      <c r="AE8">
        <v>-2.8649999999999002E-3</v>
      </c>
      <c r="AF8">
        <v>0.21657999999999999</v>
      </c>
      <c r="AG8">
        <v>0.28700999999999999</v>
      </c>
      <c r="AH8">
        <v>0.2883925</v>
      </c>
      <c r="AI8">
        <v>0.30243750000000003</v>
      </c>
      <c r="AJ8">
        <v>0.18387000000000001</v>
      </c>
      <c r="AK8">
        <v>0.3287775</v>
      </c>
      <c r="AL8">
        <v>0.32755000000000001</v>
      </c>
      <c r="AM8">
        <v>0.40622249999999999</v>
      </c>
      <c r="AN8">
        <v>0.45143749999999999</v>
      </c>
      <c r="AO8">
        <v>0.37819750000000002</v>
      </c>
      <c r="AP8">
        <v>0.37767499999999998</v>
      </c>
      <c r="AQ8">
        <v>0.48815500000000001</v>
      </c>
      <c r="AR8">
        <v>0.43346750000000001</v>
      </c>
      <c r="AS8">
        <v>0.41834250000000001</v>
      </c>
      <c r="AT8">
        <v>0.49849500000000002</v>
      </c>
      <c r="AU8">
        <v>0.58052999999999999</v>
      </c>
      <c r="AV8">
        <v>0.58694749999999996</v>
      </c>
      <c r="AW8">
        <v>0.58536250000000001</v>
      </c>
      <c r="AX8">
        <v>0.68606500000000004</v>
      </c>
      <c r="AY8">
        <v>0.59492250000000002</v>
      </c>
      <c r="AZ8">
        <v>0.61462749999999999</v>
      </c>
      <c r="BA8">
        <v>0.61468500000000004</v>
      </c>
      <c r="BB8">
        <v>0.49312</v>
      </c>
      <c r="BC8">
        <v>0.63646999999999998</v>
      </c>
      <c r="BD8">
        <v>0.49205500000000002</v>
      </c>
      <c r="BE8">
        <v>0.56654749999999998</v>
      </c>
      <c r="BF8">
        <v>0.53965249999999998</v>
      </c>
      <c r="BG8">
        <v>0.63956500000000005</v>
      </c>
      <c r="BH8">
        <v>0.59970000000000001</v>
      </c>
      <c r="BI8">
        <v>0.61715249999999999</v>
      </c>
      <c r="BJ8">
        <v>0.68879500000000005</v>
      </c>
    </row>
    <row r="9" spans="1:62" x14ac:dyDescent="0.25">
      <c r="A9" s="5">
        <v>1.6673084135529901</v>
      </c>
      <c r="B9">
        <f t="shared" si="1"/>
        <v>1.9090681335181736</v>
      </c>
      <c r="C9">
        <f t="shared" si="2"/>
        <v>0.59976906004392216</v>
      </c>
      <c r="E9">
        <v>0</v>
      </c>
      <c r="F9">
        <v>3.0874749999999999E-2</v>
      </c>
      <c r="G9">
        <v>2.5208499999999998E-2</v>
      </c>
      <c r="H9">
        <v>8.9398749999999999E-2</v>
      </c>
      <c r="I9">
        <v>-1.40675E-2</v>
      </c>
      <c r="J9">
        <v>4.6045750000000003E-2</v>
      </c>
      <c r="K9">
        <v>3.3884749999999998E-2</v>
      </c>
      <c r="L9">
        <v>4.1857749999999999E-2</v>
      </c>
      <c r="M9">
        <v>5.2128000000000001E-2</v>
      </c>
      <c r="N9">
        <v>4.9126499999999997E-2</v>
      </c>
      <c r="O9">
        <v>0.107895</v>
      </c>
      <c r="P9">
        <v>-3.5099999999999999E-2</v>
      </c>
      <c r="Q9">
        <v>9.2841000000000007E-2</v>
      </c>
      <c r="R9">
        <v>-4.6948749999999997E-2</v>
      </c>
      <c r="S9">
        <v>2.55465E-2</v>
      </c>
      <c r="T9">
        <v>1.9093249999999999E-2</v>
      </c>
      <c r="U9">
        <v>9.7924250000000101E-2</v>
      </c>
      <c r="V9">
        <v>0.124899</v>
      </c>
      <c r="W9">
        <v>3.56452500000001E-2</v>
      </c>
      <c r="X9">
        <v>-4.5640500000000001E-2</v>
      </c>
      <c r="Y9">
        <v>-5.5910249999999898E-2</v>
      </c>
      <c r="Z9">
        <v>-3.3816499999999902E-2</v>
      </c>
      <c r="AA9">
        <v>7.0250000000000201E-2</v>
      </c>
      <c r="AB9">
        <v>-3.08055E-2</v>
      </c>
      <c r="AC9">
        <v>-3.8702499999999897E-2</v>
      </c>
      <c r="AD9">
        <v>3.4709999999999998E-2</v>
      </c>
      <c r="AE9">
        <v>-2.6617499999999999E-2</v>
      </c>
      <c r="AF9">
        <v>0.1030175</v>
      </c>
      <c r="AG9">
        <v>0.146175</v>
      </c>
      <c r="AH9">
        <v>0.1516525</v>
      </c>
      <c r="AI9">
        <v>0.15353249999999999</v>
      </c>
      <c r="AJ9">
        <v>2.5655000000000001E-2</v>
      </c>
      <c r="AK9">
        <v>0.15048249999999999</v>
      </c>
      <c r="AL9">
        <v>0.14725750000000001</v>
      </c>
      <c r="AM9">
        <v>0.2400525</v>
      </c>
      <c r="AN9">
        <v>0.26238</v>
      </c>
      <c r="AO9">
        <v>0.1781925</v>
      </c>
      <c r="AP9">
        <v>0.17882000000000001</v>
      </c>
      <c r="AQ9">
        <v>0.28079999999999999</v>
      </c>
      <c r="AR9">
        <v>0.21465500000000001</v>
      </c>
      <c r="AS9">
        <v>0.19984499999999999</v>
      </c>
      <c r="AT9">
        <v>0.31838</v>
      </c>
      <c r="AU9">
        <v>0.40945749999999997</v>
      </c>
      <c r="AV9">
        <v>0.42037750000000002</v>
      </c>
      <c r="AW9">
        <v>0.414775</v>
      </c>
      <c r="AX9">
        <v>0.54373499999999897</v>
      </c>
      <c r="AY9">
        <v>0.43309999999999998</v>
      </c>
      <c r="AZ9">
        <v>0.45305250000000002</v>
      </c>
      <c r="BA9">
        <v>0.45673000000000002</v>
      </c>
      <c r="BB9">
        <v>0.30553000000000002</v>
      </c>
      <c r="BC9">
        <v>0.47809499999999999</v>
      </c>
      <c r="BD9">
        <v>0.30596500000000099</v>
      </c>
      <c r="BE9">
        <v>0.393285</v>
      </c>
      <c r="BF9">
        <v>0.35930250000000002</v>
      </c>
      <c r="BG9">
        <v>0.46755999999999998</v>
      </c>
      <c r="BH9">
        <v>0.42723250000000002</v>
      </c>
      <c r="BI9">
        <v>0.445465</v>
      </c>
      <c r="BJ9">
        <v>0.53595250000000005</v>
      </c>
    </row>
    <row r="10" spans="1:62" x14ac:dyDescent="0.25">
      <c r="A10" s="5">
        <v>1.5799721690115101</v>
      </c>
      <c r="B10">
        <f t="shared" si="1"/>
        <v>1.8090681335181791</v>
      </c>
      <c r="C10">
        <f t="shared" si="2"/>
        <v>0.63292254105060441</v>
      </c>
      <c r="E10">
        <v>0</v>
      </c>
      <c r="F10">
        <v>4.5587999999999997E-2</v>
      </c>
      <c r="G10">
        <v>3.241575E-2</v>
      </c>
      <c r="H10">
        <v>0.10870025</v>
      </c>
      <c r="I10">
        <v>-1.0316000000000001E-2</v>
      </c>
      <c r="J10">
        <v>6.2871250000000004E-2</v>
      </c>
      <c r="K10">
        <v>4.018E-2</v>
      </c>
      <c r="L10">
        <v>4.2958250000000003E-2</v>
      </c>
      <c r="M10">
        <v>5.5513750000000001E-2</v>
      </c>
      <c r="N10">
        <v>4.9019750000000001E-2</v>
      </c>
      <c r="O10">
        <v>0.12681624999999999</v>
      </c>
      <c r="P10">
        <v>-3.7616249999999997E-2</v>
      </c>
      <c r="Q10">
        <v>0.1070815</v>
      </c>
      <c r="R10">
        <v>-5.6099250000000003E-2</v>
      </c>
      <c r="S10">
        <v>3.2617749999999897E-2</v>
      </c>
      <c r="T10">
        <v>2.9072000000000001E-2</v>
      </c>
      <c r="U10">
        <v>0.114769</v>
      </c>
      <c r="V10">
        <v>0.14762025000000001</v>
      </c>
      <c r="W10">
        <v>4.3012250000000002E-2</v>
      </c>
      <c r="X10">
        <v>-5.5744999999999899E-2</v>
      </c>
      <c r="Y10">
        <v>-6.6185250000000001E-2</v>
      </c>
      <c r="Z10">
        <v>-4.1940499999999901E-2</v>
      </c>
      <c r="AA10">
        <v>8.1793750000000096E-2</v>
      </c>
      <c r="AB10">
        <v>-4.2289500000000202E-2</v>
      </c>
      <c r="AC10">
        <v>-5.3922499999999901E-2</v>
      </c>
      <c r="AD10">
        <v>3.2292500000000099E-2</v>
      </c>
      <c r="AE10">
        <v>-4.10175000000002E-2</v>
      </c>
      <c r="AF10">
        <v>0.10699500000000001</v>
      </c>
      <c r="AG10">
        <v>0.136545</v>
      </c>
      <c r="AH10">
        <v>0.14021249999999999</v>
      </c>
      <c r="AI10">
        <v>0.14475250000000001</v>
      </c>
      <c r="AJ10">
        <v>-1.42000000000002E-2</v>
      </c>
      <c r="AK10">
        <v>0.12894</v>
      </c>
      <c r="AL10">
        <v>0.12503500000000001</v>
      </c>
      <c r="AM10">
        <v>0.23538249999999999</v>
      </c>
      <c r="AN10">
        <v>0.25355499999999997</v>
      </c>
      <c r="AO10">
        <v>0.14674999999999999</v>
      </c>
      <c r="AP10">
        <v>0.14156750000000001</v>
      </c>
      <c r="AQ10">
        <v>0.25274750000000001</v>
      </c>
      <c r="AR10">
        <v>0.17112749999999999</v>
      </c>
      <c r="AS10">
        <v>0.16190499999999999</v>
      </c>
      <c r="AT10">
        <v>0.30003750000000001</v>
      </c>
      <c r="AU10">
        <v>0.43590250000000003</v>
      </c>
      <c r="AV10">
        <v>0.44949</v>
      </c>
      <c r="AW10">
        <v>0.43970500000000001</v>
      </c>
      <c r="AX10">
        <v>0.59615750000000001</v>
      </c>
      <c r="AY10">
        <v>0.48468250000000002</v>
      </c>
      <c r="AZ10">
        <v>0.51998999999999995</v>
      </c>
      <c r="BA10">
        <v>0.52395499999999995</v>
      </c>
      <c r="BB10">
        <v>0.35050500000000001</v>
      </c>
      <c r="BC10">
        <v>0.55408999999999997</v>
      </c>
      <c r="BD10">
        <v>0.35642000000000001</v>
      </c>
      <c r="BE10">
        <v>0.45350499999999899</v>
      </c>
      <c r="BF10">
        <v>0.41602499999999998</v>
      </c>
      <c r="BG10">
        <v>0.5370125</v>
      </c>
      <c r="BH10">
        <v>0.49339749999999999</v>
      </c>
      <c r="BI10">
        <v>0.51387249999999995</v>
      </c>
      <c r="BJ10">
        <v>0.61388750000000003</v>
      </c>
    </row>
    <row r="11" spans="1:62" x14ac:dyDescent="0.25">
      <c r="A11" s="1"/>
    </row>
    <row r="12" spans="1:62" x14ac:dyDescent="0.25">
      <c r="A12" s="1"/>
    </row>
    <row r="13" spans="1:62" x14ac:dyDescent="0.25">
      <c r="A13" s="1"/>
    </row>
    <row r="14" spans="1:62" x14ac:dyDescent="0.25">
      <c r="A14" s="1"/>
    </row>
    <row r="15" spans="1:62" x14ac:dyDescent="0.25">
      <c r="A15" s="1"/>
    </row>
    <row r="16" spans="1:62" x14ac:dyDescent="0.25">
      <c r="A16" s="1"/>
    </row>
    <row r="17" spans="1:62" x14ac:dyDescent="0.25">
      <c r="A17" s="1"/>
    </row>
    <row r="18" spans="1:62" x14ac:dyDescent="0.25">
      <c r="A18" s="1"/>
    </row>
    <row r="19" spans="1:62" x14ac:dyDescent="0.25">
      <c r="A19" s="1"/>
    </row>
    <row r="20" spans="1:62" x14ac:dyDescent="0.25">
      <c r="A20" s="1"/>
    </row>
    <row r="21" spans="1:62" x14ac:dyDescent="0.25">
      <c r="A21" s="1"/>
    </row>
    <row r="22" spans="1:62" x14ac:dyDescent="0.25">
      <c r="A22" s="1"/>
    </row>
    <row r="23" spans="1:62" x14ac:dyDescent="0.25">
      <c r="A23" s="1"/>
    </row>
    <row r="24" spans="1:62" x14ac:dyDescent="0.25">
      <c r="D24" s="2" t="str">
        <f t="shared" ref="B24:D25" si="3">D1</f>
        <v>P [kN]</v>
      </c>
      <c r="E24">
        <f>MAX($E1:E1)</f>
        <v>0</v>
      </c>
      <c r="F24">
        <f>MAX($E1:F1)</f>
        <v>49</v>
      </c>
      <c r="G24">
        <f>MAX($E1:G1)</f>
        <v>49</v>
      </c>
      <c r="H24">
        <f>MAX($E1:H1)</f>
        <v>49</v>
      </c>
      <c r="I24">
        <f>MAX($E1:I1)</f>
        <v>49</v>
      </c>
      <c r="J24">
        <f>MAX($E1:J1)</f>
        <v>51</v>
      </c>
      <c r="K24">
        <f>MAX($E1:K1)</f>
        <v>52</v>
      </c>
      <c r="L24">
        <f>MAX($E1:L1)</f>
        <v>99</v>
      </c>
      <c r="M24">
        <f>MAX($E1:M1)</f>
        <v>99</v>
      </c>
      <c r="N24">
        <f>MAX($E1:N1)</f>
        <v>99</v>
      </c>
      <c r="O24">
        <f>MAX($E1:O1)</f>
        <v>124</v>
      </c>
      <c r="P24">
        <f>MAX($E1:P1)</f>
        <v>124</v>
      </c>
      <c r="Q24">
        <f>MAX($E1:Q1)</f>
        <v>124</v>
      </c>
      <c r="R24">
        <f>MAX($E1:R1)</f>
        <v>149</v>
      </c>
      <c r="S24">
        <f>MAX($E1:S1)</f>
        <v>149</v>
      </c>
      <c r="T24">
        <f>MAX($E1:T1)</f>
        <v>149</v>
      </c>
      <c r="U24">
        <f>MAX($E1:U1)</f>
        <v>149</v>
      </c>
      <c r="V24">
        <f>MAX($E1:V1)</f>
        <v>149</v>
      </c>
      <c r="W24">
        <f>MAX($E1:W1)</f>
        <v>149</v>
      </c>
      <c r="X24">
        <f>MAX($E1:X1)</f>
        <v>149</v>
      </c>
      <c r="Y24">
        <f>MAX($E1:Y1)</f>
        <v>149</v>
      </c>
      <c r="Z24">
        <f>MAX($E1:Z1)</f>
        <v>172</v>
      </c>
      <c r="AA24">
        <f>MAX($E1:AA1)</f>
        <v>172</v>
      </c>
      <c r="AB24">
        <f>MAX($E1:AB1)</f>
        <v>172</v>
      </c>
      <c r="AC24">
        <f>MAX($E1:AC1)</f>
        <v>175</v>
      </c>
      <c r="AD24">
        <f>MAX($E1:AD1)</f>
        <v>175</v>
      </c>
      <c r="AE24">
        <f>MAX($E1:AE1)</f>
        <v>175</v>
      </c>
      <c r="AF24">
        <f>MAX($E1:AF1)</f>
        <v>175</v>
      </c>
      <c r="AG24">
        <f>MAX($E1:AG1)</f>
        <v>189</v>
      </c>
      <c r="AH24">
        <f>MAX($E1:AH1)</f>
        <v>198</v>
      </c>
      <c r="AI24">
        <f>MAX($E1:AI1)</f>
        <v>198</v>
      </c>
      <c r="AJ24">
        <f>MAX($E1:AJ1)</f>
        <v>198</v>
      </c>
      <c r="AK24">
        <f>MAX($E1:AK1)</f>
        <v>224</v>
      </c>
      <c r="AL24">
        <f>MAX($E1:AL1)</f>
        <v>224</v>
      </c>
      <c r="AM24">
        <f>MAX($E1:AM1)</f>
        <v>224</v>
      </c>
      <c r="AN24">
        <f>MAX($E1:AN1)</f>
        <v>249</v>
      </c>
      <c r="AO24">
        <f>MAX($E1:AO1)</f>
        <v>249</v>
      </c>
      <c r="AP24">
        <f>MAX($E1:AP1)</f>
        <v>249</v>
      </c>
      <c r="AQ24">
        <f>MAX($E1:AQ1)</f>
        <v>274</v>
      </c>
      <c r="AR24">
        <f>MAX($E1:AR1)</f>
        <v>274</v>
      </c>
      <c r="AS24">
        <f>MAX($E1:AS1)</f>
        <v>274</v>
      </c>
      <c r="AT24">
        <f>MAX($E1:AT1)</f>
        <v>274</v>
      </c>
      <c r="AU24">
        <f>MAX($E1:AU1)</f>
        <v>279</v>
      </c>
      <c r="AV24">
        <f>MAX($E1:AV1)</f>
        <v>282</v>
      </c>
      <c r="AW24">
        <f>MAX($E1:AW1)</f>
        <v>283</v>
      </c>
      <c r="AX24">
        <f>MAX($E1:AX1)</f>
        <v>286</v>
      </c>
      <c r="AY24">
        <f>MAX($E1:AY1)</f>
        <v>291</v>
      </c>
      <c r="AZ24">
        <f>MAX($E1:AZ1)</f>
        <v>300</v>
      </c>
      <c r="BA24">
        <f>MAX($E1:BA1)</f>
        <v>300</v>
      </c>
      <c r="BB24">
        <f>MAX($E1:BB1)</f>
        <v>300</v>
      </c>
      <c r="BC24">
        <f>MAX($E1:BC1)</f>
        <v>300</v>
      </c>
      <c r="BD24">
        <f>MAX($E1:BD1)</f>
        <v>300</v>
      </c>
      <c r="BE24">
        <f>MAX($E1:BE1)</f>
        <v>307</v>
      </c>
      <c r="BF24">
        <f>MAX($E1:BF1)</f>
        <v>315</v>
      </c>
      <c r="BG24">
        <f>MAX($E1:BG1)</f>
        <v>323</v>
      </c>
      <c r="BH24">
        <f>MAX($E1:BH1)</f>
        <v>335</v>
      </c>
      <c r="BI24">
        <f>MAX($E1:BI1)</f>
        <v>340</v>
      </c>
      <c r="BJ24">
        <f>MAX($E1:BJ1)</f>
        <v>341</v>
      </c>
    </row>
    <row r="25" spans="1:62" x14ac:dyDescent="0.25">
      <c r="A25" s="2" t="str">
        <f>A2</f>
        <v>M/(Vd)</v>
      </c>
      <c r="B25" s="2" t="str">
        <f t="shared" si="3"/>
        <v>x</v>
      </c>
      <c r="C25" s="2" t="str">
        <f t="shared" si="3"/>
        <v>Vd/M</v>
      </c>
      <c r="D25" s="2" t="str">
        <f t="shared" si="3"/>
        <v>V [kN]</v>
      </c>
      <c r="E25">
        <f>MAX($E2:E2)</f>
        <v>30</v>
      </c>
      <c r="F25">
        <f>MAX($E2:F2)</f>
        <v>62.666668299999998</v>
      </c>
      <c r="G25">
        <f>MAX($E2:G2)</f>
        <v>62.666668299999998</v>
      </c>
      <c r="H25">
        <f>MAX($E2:H2)</f>
        <v>62.666668299999998</v>
      </c>
      <c r="I25">
        <f>MAX($E2:I2)</f>
        <v>62.666668299999998</v>
      </c>
      <c r="J25">
        <f>MAX($E2:J2)</f>
        <v>64.000001699999999</v>
      </c>
      <c r="K25">
        <f>MAX($E2:K2)</f>
        <v>64.666668399999992</v>
      </c>
      <c r="L25">
        <f>MAX($E2:L2)</f>
        <v>96.000003299999989</v>
      </c>
      <c r="M25">
        <f>MAX($E2:M2)</f>
        <v>96.000003299999989</v>
      </c>
      <c r="N25">
        <f>MAX($E2:N2)</f>
        <v>96.000003299999989</v>
      </c>
      <c r="O25">
        <f>MAX($E2:O2)</f>
        <v>112.66667079999999</v>
      </c>
      <c r="P25">
        <f>MAX($E2:P2)</f>
        <v>112.66667079999999</v>
      </c>
      <c r="Q25">
        <f>MAX($E2:Q2)</f>
        <v>112.66667079999999</v>
      </c>
      <c r="R25">
        <f>MAX($E2:R2)</f>
        <v>129.33333829999998</v>
      </c>
      <c r="S25">
        <f>MAX($E2:S2)</f>
        <v>129.33333829999998</v>
      </c>
      <c r="T25">
        <f>MAX($E2:T2)</f>
        <v>129.33333829999998</v>
      </c>
      <c r="U25">
        <f>MAX($E2:U2)</f>
        <v>129.33333829999998</v>
      </c>
      <c r="V25">
        <f>MAX($E2:V2)</f>
        <v>129.33333829999998</v>
      </c>
      <c r="W25">
        <f>MAX($E2:W2)</f>
        <v>129.33333829999998</v>
      </c>
      <c r="X25">
        <f>MAX($E2:X2)</f>
        <v>129.33333829999998</v>
      </c>
      <c r="Y25">
        <f>MAX($E2:Y2)</f>
        <v>129.33333829999998</v>
      </c>
      <c r="Z25">
        <f>MAX($E2:Z2)</f>
        <v>144.66667239999998</v>
      </c>
      <c r="AA25">
        <f>MAX($E2:AA2)</f>
        <v>144.66667239999998</v>
      </c>
      <c r="AB25">
        <f>MAX($E2:AB2)</f>
        <v>144.66667239999998</v>
      </c>
      <c r="AC25">
        <f>MAX($E2:AC2)</f>
        <v>146.6666725</v>
      </c>
      <c r="AD25">
        <f>MAX($E2:AD2)</f>
        <v>146.6666725</v>
      </c>
      <c r="AE25">
        <f>MAX($E2:AE2)</f>
        <v>146.6666725</v>
      </c>
      <c r="AF25">
        <f>MAX($E2:AF2)</f>
        <v>146.6666725</v>
      </c>
      <c r="AG25">
        <f>MAX($E2:AG2)</f>
        <v>156.0000063</v>
      </c>
      <c r="AH25">
        <f>MAX($E2:AH2)</f>
        <v>162.00000659999998</v>
      </c>
      <c r="AI25">
        <f>MAX($E2:AI2)</f>
        <v>162.00000659999998</v>
      </c>
      <c r="AJ25">
        <f>MAX($E2:AJ2)</f>
        <v>162.00000659999998</v>
      </c>
      <c r="AK25">
        <f>MAX($E2:AK2)</f>
        <v>179.33334079999997</v>
      </c>
      <c r="AL25">
        <f>MAX($E2:AL2)</f>
        <v>179.33334079999997</v>
      </c>
      <c r="AM25">
        <f>MAX($E2:AM2)</f>
        <v>179.33334079999997</v>
      </c>
      <c r="AN25">
        <f>MAX($E2:AN2)</f>
        <v>196.00000829999999</v>
      </c>
      <c r="AO25">
        <f>MAX($E2:AO2)</f>
        <v>196.00000829999999</v>
      </c>
      <c r="AP25">
        <f>MAX($E2:AP2)</f>
        <v>196.00000829999999</v>
      </c>
      <c r="AQ25">
        <f>MAX($E2:AQ2)</f>
        <v>212.66667579999998</v>
      </c>
      <c r="AR25">
        <f>MAX($E2:AR2)</f>
        <v>212.66667579999998</v>
      </c>
      <c r="AS25">
        <f>MAX($E2:AS2)</f>
        <v>212.66667579999998</v>
      </c>
      <c r="AT25">
        <f>MAX($E2:AT2)</f>
        <v>212.66667579999998</v>
      </c>
      <c r="AU25">
        <f>MAX($E2:AU2)</f>
        <v>216.00000929999999</v>
      </c>
      <c r="AV25">
        <f>MAX($E2:AV2)</f>
        <v>218.00000939999998</v>
      </c>
      <c r="AW25">
        <f>MAX($E2:AW2)</f>
        <v>218.66667609999999</v>
      </c>
      <c r="AX25">
        <f>MAX($E2:AX2)</f>
        <v>220.66667619999998</v>
      </c>
      <c r="AY25">
        <f>MAX($E2:AY2)</f>
        <v>224.00000969999999</v>
      </c>
      <c r="AZ25">
        <f>MAX($E2:AZ2)</f>
        <v>230.00000999999997</v>
      </c>
      <c r="BA25">
        <f>MAX($E2:BA2)</f>
        <v>230.00000999999997</v>
      </c>
      <c r="BB25">
        <f>MAX($E2:BB2)</f>
        <v>230.00000999999997</v>
      </c>
      <c r="BC25">
        <f>MAX($E2:BC2)</f>
        <v>230.00000999999997</v>
      </c>
      <c r="BD25">
        <f>MAX($E2:BD2)</f>
        <v>230.00000999999997</v>
      </c>
      <c r="BE25">
        <f>MAX($E2:BE2)</f>
        <v>234.66667689999997</v>
      </c>
      <c r="BF25">
        <f>MAX($E2:BF2)</f>
        <v>240.00001049999997</v>
      </c>
      <c r="BG25">
        <f>MAX($E2:BG2)</f>
        <v>245.33334409999998</v>
      </c>
      <c r="BH25">
        <f>MAX($E2:BH2)</f>
        <v>253.33334449999998</v>
      </c>
      <c r="BI25">
        <f>MAX($E2:BI2)</f>
        <v>256.66667799999999</v>
      </c>
      <c r="BJ25">
        <f>MAX($E2:BJ2)</f>
        <v>257.3333447</v>
      </c>
    </row>
    <row r="26" spans="1:62" x14ac:dyDescent="0.25">
      <c r="A26">
        <f>A3</f>
        <v>2.1913258808018998</v>
      </c>
      <c r="B26">
        <f t="shared" ref="B26:C26" si="4">B3</f>
        <v>2.5090681335181753</v>
      </c>
      <c r="C26">
        <f t="shared" si="4"/>
        <v>0.45634472205204696</v>
      </c>
      <c r="E26">
        <f>MAX($E3:E3)</f>
        <v>0</v>
      </c>
      <c r="F26">
        <f>MAX($E3:F3)</f>
        <v>2.4630224999999999E-2</v>
      </c>
      <c r="G26">
        <f>MAX($E3:G3)</f>
        <v>2.7348000000000001E-2</v>
      </c>
      <c r="H26">
        <f>MAX($E3:H3)</f>
        <v>7.3344999999999994E-2</v>
      </c>
      <c r="I26">
        <f>MAX($E3:I3)</f>
        <v>7.3344999999999994E-2</v>
      </c>
      <c r="J26">
        <f>MAX($E3:J3)</f>
        <v>7.3344999999999994E-2</v>
      </c>
      <c r="K26">
        <f>MAX($E3:K3)</f>
        <v>7.3344999999999994E-2</v>
      </c>
      <c r="L26">
        <f>MAX($E3:L3)</f>
        <v>7.3344999999999994E-2</v>
      </c>
      <c r="M26">
        <f>MAX($E3:M3)</f>
        <v>7.3344999999999994E-2</v>
      </c>
      <c r="N26">
        <f>MAX($E3:N3)</f>
        <v>7.3344999999999994E-2</v>
      </c>
      <c r="O26">
        <f>MAX($E3:O3)</f>
        <v>9.8158999999999899E-2</v>
      </c>
      <c r="P26">
        <f>MAX($E3:P3)</f>
        <v>9.8158999999999899E-2</v>
      </c>
      <c r="Q26">
        <f>MAX($E3:Q3)</f>
        <v>9.8158999999999899E-2</v>
      </c>
      <c r="R26">
        <f>MAX($E3:R3)</f>
        <v>9.8158999999999899E-2</v>
      </c>
      <c r="S26">
        <f>MAX($E3:S3)</f>
        <v>9.8158999999999899E-2</v>
      </c>
      <c r="T26">
        <f>MAX($E3:T3)</f>
        <v>9.8158999999999899E-2</v>
      </c>
      <c r="U26">
        <f>MAX($E3:U3)</f>
        <v>0.11634425</v>
      </c>
      <c r="V26">
        <f>MAX($E3:V3)</f>
        <v>0.13945350000000001</v>
      </c>
      <c r="W26">
        <f>MAX($E3:W3)</f>
        <v>0.13945350000000001</v>
      </c>
      <c r="X26">
        <f>MAX($E3:X3)</f>
        <v>0.13945350000000001</v>
      </c>
      <c r="Y26">
        <f>MAX($E3:Y3)</f>
        <v>0.13945350000000001</v>
      </c>
      <c r="Z26">
        <f>MAX($E3:Z3)</f>
        <v>0.13945350000000001</v>
      </c>
      <c r="AA26">
        <f>MAX($E3:AA3)</f>
        <v>0.13945350000000001</v>
      </c>
      <c r="AB26">
        <f>MAX($E3:AB3)</f>
        <v>0.13945350000000001</v>
      </c>
      <c r="AC26">
        <f>MAX($E3:AC3)</f>
        <v>0.16493374999999999</v>
      </c>
      <c r="AD26">
        <f>MAX($E3:AD3)</f>
        <v>0.23403674999999999</v>
      </c>
      <c r="AE26">
        <f>MAX($E3:AE3)</f>
        <v>0.23403674999999999</v>
      </c>
      <c r="AF26">
        <f>MAX($E3:AF3)</f>
        <v>0.41857149999999999</v>
      </c>
      <c r="AG26">
        <f>MAX($E3:AG3)</f>
        <v>0.47238225</v>
      </c>
      <c r="AH26">
        <f>MAX($E3:AH3)</f>
        <v>0.49106250000000001</v>
      </c>
      <c r="AI26">
        <f>MAX($E3:AI3)</f>
        <v>0.49106250000000001</v>
      </c>
      <c r="AJ26">
        <f>MAX($E3:AJ3)</f>
        <v>0.49106250000000001</v>
      </c>
      <c r="AK26">
        <f>MAX($E3:AK3)</f>
        <v>0.52452750000000004</v>
      </c>
      <c r="AL26">
        <f>MAX($E3:AL3)</f>
        <v>0.53215749999999995</v>
      </c>
      <c r="AM26">
        <f>MAX($E3:AM3)</f>
        <v>0.57735749999999997</v>
      </c>
      <c r="AN26">
        <f>MAX($E3:AN3)</f>
        <v>0.66470499999999999</v>
      </c>
      <c r="AO26">
        <f>MAX($E3:AO3)</f>
        <v>0.66470499999999999</v>
      </c>
      <c r="AP26">
        <f>MAX($E3:AP3)</f>
        <v>0.66470499999999999</v>
      </c>
      <c r="AQ26">
        <f>MAX($E3:AQ3)</f>
        <v>0.70345749999999996</v>
      </c>
      <c r="AR26">
        <f>MAX($E3:AR3)</f>
        <v>0.70345749999999996</v>
      </c>
      <c r="AS26">
        <f>MAX($E3:AS3)</f>
        <v>0.70345749999999996</v>
      </c>
      <c r="AT26">
        <f>MAX($E3:AT3)</f>
        <v>0.70345749999999996</v>
      </c>
      <c r="AU26">
        <f>MAX($E3:AU3)</f>
        <v>0.70907500000000001</v>
      </c>
      <c r="AV26">
        <f>MAX($E3:AV3)</f>
        <v>0.71024750000000003</v>
      </c>
      <c r="AW26">
        <f>MAX($E3:AW3)</f>
        <v>0.715292500000001</v>
      </c>
      <c r="AX26">
        <f>MAX($E3:AX3)</f>
        <v>0.7895375</v>
      </c>
      <c r="AY26">
        <f>MAX($E3:AY3)</f>
        <v>0.7895375</v>
      </c>
      <c r="AZ26">
        <f>MAX($E3:AZ3)</f>
        <v>0.7895375</v>
      </c>
      <c r="BA26">
        <f>MAX($E3:BA3)</f>
        <v>0.7895375</v>
      </c>
      <c r="BB26">
        <f>MAX($E3:BB3)</f>
        <v>0.7895375</v>
      </c>
      <c r="BC26">
        <f>MAX($E3:BC3)</f>
        <v>0.7895375</v>
      </c>
      <c r="BD26">
        <f>MAX($E3:BD3)</f>
        <v>0.7895375</v>
      </c>
      <c r="BE26">
        <f>MAX($E3:BE3)</f>
        <v>0.7895375</v>
      </c>
      <c r="BF26">
        <f>MAX($E3:BF3)</f>
        <v>0.7895375</v>
      </c>
      <c r="BG26">
        <f>MAX($E3:BG3)</f>
        <v>0.7895375</v>
      </c>
      <c r="BH26">
        <f>MAX($E3:BH3)</f>
        <v>0.7895375</v>
      </c>
      <c r="BI26">
        <f>MAX($E3:BI3)</f>
        <v>0.7895375</v>
      </c>
      <c r="BJ26">
        <f>MAX($E3:BJ3)</f>
        <v>0.79567500000000002</v>
      </c>
    </row>
    <row r="27" spans="1:62" x14ac:dyDescent="0.25">
      <c r="A27">
        <f t="shared" ref="A27:C33" si="5">A4</f>
        <v>2.1039896362604198</v>
      </c>
      <c r="B27">
        <f t="shared" si="5"/>
        <v>2.4090681335181805</v>
      </c>
      <c r="C27">
        <f t="shared" si="5"/>
        <v>0.47528751224144611</v>
      </c>
      <c r="E27">
        <f>MAX($E4:E4)</f>
        <v>0</v>
      </c>
      <c r="F27">
        <f>MAX($E4:F4)</f>
        <v>1.917075E-2</v>
      </c>
      <c r="G27">
        <f>MAX($E4:G4)</f>
        <v>2.8832E-2</v>
      </c>
      <c r="H27">
        <f>MAX($E4:H4)</f>
        <v>7.1740250000000005E-2</v>
      </c>
      <c r="I27">
        <f>MAX($E4:I4)</f>
        <v>7.1740250000000005E-2</v>
      </c>
      <c r="J27">
        <f>MAX($E4:J4)</f>
        <v>7.1740250000000005E-2</v>
      </c>
      <c r="K27">
        <f>MAX($E4:K4)</f>
        <v>7.1740250000000005E-2</v>
      </c>
      <c r="L27">
        <f>MAX($E4:L4)</f>
        <v>7.1740250000000005E-2</v>
      </c>
      <c r="M27">
        <f>MAX($E4:M4)</f>
        <v>7.1740250000000005E-2</v>
      </c>
      <c r="N27">
        <f>MAX($E4:N4)</f>
        <v>7.1740250000000005E-2</v>
      </c>
      <c r="O27">
        <f>MAX($E4:O4)</f>
        <v>9.3864249999999996E-2</v>
      </c>
      <c r="P27">
        <f>MAX($E4:P4)</f>
        <v>9.3864249999999996E-2</v>
      </c>
      <c r="Q27">
        <f>MAX($E4:Q4)</f>
        <v>9.3864249999999996E-2</v>
      </c>
      <c r="R27">
        <f>MAX($E4:R4)</f>
        <v>9.3864249999999996E-2</v>
      </c>
      <c r="S27">
        <f>MAX($E4:S4)</f>
        <v>9.3864249999999996E-2</v>
      </c>
      <c r="T27">
        <f>MAX($E4:T4)</f>
        <v>9.3864249999999996E-2</v>
      </c>
      <c r="U27">
        <f>MAX($E4:U4)</f>
        <v>0.106784</v>
      </c>
      <c r="V27">
        <f>MAX($E4:V4)</f>
        <v>0.13049649999999999</v>
      </c>
      <c r="W27">
        <f>MAX($E4:W4)</f>
        <v>0.13049649999999999</v>
      </c>
      <c r="X27">
        <f>MAX($E4:X4)</f>
        <v>0.13049649999999999</v>
      </c>
      <c r="Y27">
        <f>MAX($E4:Y4)</f>
        <v>0.13049649999999999</v>
      </c>
      <c r="Z27">
        <f>MAX($E4:Z4)</f>
        <v>0.13049649999999999</v>
      </c>
      <c r="AA27">
        <f>MAX($E4:AA4)</f>
        <v>0.13049649999999999</v>
      </c>
      <c r="AB27">
        <f>MAX($E4:AB4)</f>
        <v>0.13049649999999999</v>
      </c>
      <c r="AC27">
        <f>MAX($E4:AC4)</f>
        <v>0.13049649999999999</v>
      </c>
      <c r="AD27">
        <f>MAX($E4:AD4)</f>
        <v>0.14507999999999999</v>
      </c>
      <c r="AE27">
        <f>MAX($E4:AE4)</f>
        <v>0.14507999999999999</v>
      </c>
      <c r="AF27">
        <f>MAX($E4:AF4)</f>
        <v>0.33913300000000002</v>
      </c>
      <c r="AG27">
        <f>MAX($E4:AG4)</f>
        <v>0.41007250000000001</v>
      </c>
      <c r="AH27">
        <f>MAX($E4:AH4)</f>
        <v>0.42412749999999999</v>
      </c>
      <c r="AI27">
        <f>MAX($E4:AI4)</f>
        <v>0.42956749999999999</v>
      </c>
      <c r="AJ27">
        <f>MAX($E4:AJ4)</f>
        <v>0.42956749999999999</v>
      </c>
      <c r="AK27">
        <f>MAX($E4:AK4)</f>
        <v>0.458845</v>
      </c>
      <c r="AL27">
        <f>MAX($E4:AL4)</f>
        <v>0.46504250000000003</v>
      </c>
      <c r="AM27">
        <f>MAX($E4:AM4)</f>
        <v>0.51636000000000004</v>
      </c>
      <c r="AN27">
        <f>MAX($E4:AN4)</f>
        <v>0.59299250000000003</v>
      </c>
      <c r="AO27">
        <f>MAX($E4:AO4)</f>
        <v>0.59299250000000003</v>
      </c>
      <c r="AP27">
        <f>MAX($E4:AP4)</f>
        <v>0.59299250000000003</v>
      </c>
      <c r="AQ27">
        <f>MAX($E4:AQ4)</f>
        <v>0.63001499999999999</v>
      </c>
      <c r="AR27">
        <f>MAX($E4:AR4)</f>
        <v>0.63001499999999999</v>
      </c>
      <c r="AS27">
        <f>MAX($E4:AS4)</f>
        <v>0.63001499999999999</v>
      </c>
      <c r="AT27">
        <f>MAX($E4:AT4)</f>
        <v>0.63001499999999999</v>
      </c>
      <c r="AU27">
        <f>MAX($E4:AU4)</f>
        <v>0.63859500000000002</v>
      </c>
      <c r="AV27">
        <f>MAX($E4:AV4)</f>
        <v>0.63859500000000002</v>
      </c>
      <c r="AW27">
        <f>MAX($E4:AW4)</f>
        <v>0.639845</v>
      </c>
      <c r="AX27">
        <f>MAX($E4:AX4)</f>
        <v>0.718225</v>
      </c>
      <c r="AY27">
        <f>MAX($E4:AY4)</f>
        <v>0.718225</v>
      </c>
      <c r="AZ27">
        <f>MAX($E4:AZ4)</f>
        <v>0.718225</v>
      </c>
      <c r="BA27">
        <f>MAX($E4:BA4)</f>
        <v>0.718225</v>
      </c>
      <c r="BB27">
        <f>MAX($E4:BB4)</f>
        <v>0.718225</v>
      </c>
      <c r="BC27">
        <f>MAX($E4:BC4)</f>
        <v>0.718225</v>
      </c>
      <c r="BD27">
        <f>MAX($E4:BD4)</f>
        <v>0.718225</v>
      </c>
      <c r="BE27">
        <f>MAX($E4:BE4)</f>
        <v>0.718225</v>
      </c>
      <c r="BF27">
        <f>MAX($E4:BF4)</f>
        <v>0.718225</v>
      </c>
      <c r="BG27">
        <f>MAX($E4:BG4)</f>
        <v>0.718225</v>
      </c>
      <c r="BH27">
        <f>MAX($E4:BH4)</f>
        <v>0.718225</v>
      </c>
      <c r="BI27">
        <f>MAX($E4:BI4)</f>
        <v>0.718225</v>
      </c>
      <c r="BJ27">
        <f>MAX($E4:BJ4)</f>
        <v>0.718225</v>
      </c>
    </row>
    <row r="28" spans="1:62" x14ac:dyDescent="0.25">
      <c r="A28">
        <f t="shared" si="5"/>
        <v>2.01665339171893</v>
      </c>
      <c r="B28">
        <f t="shared" si="5"/>
        <v>2.3090681335181751</v>
      </c>
      <c r="C28">
        <f t="shared" si="5"/>
        <v>0.49587103272498029</v>
      </c>
      <c r="E28">
        <f>MAX($E5:E5)</f>
        <v>0</v>
      </c>
      <c r="F28">
        <f>MAX($E5:F5)</f>
        <v>2.1320499999999999E-2</v>
      </c>
      <c r="G28">
        <f>MAX($E5:G5)</f>
        <v>3.22905E-2</v>
      </c>
      <c r="H28">
        <f>MAX($E5:H5)</f>
        <v>7.7415250000000005E-2</v>
      </c>
      <c r="I28">
        <f>MAX($E5:I5)</f>
        <v>7.7415250000000005E-2</v>
      </c>
      <c r="J28">
        <f>MAX($E5:J5)</f>
        <v>7.7415250000000005E-2</v>
      </c>
      <c r="K28">
        <f>MAX($E5:K5)</f>
        <v>7.7415250000000005E-2</v>
      </c>
      <c r="L28">
        <f>MAX($E5:L5)</f>
        <v>7.7415250000000005E-2</v>
      </c>
      <c r="M28">
        <f>MAX($E5:M5)</f>
        <v>7.7415250000000005E-2</v>
      </c>
      <c r="N28">
        <f>MAX($E5:N5)</f>
        <v>7.7415250000000005E-2</v>
      </c>
      <c r="O28">
        <f>MAX($E5:O5)</f>
        <v>9.1381500000000102E-2</v>
      </c>
      <c r="P28">
        <f>MAX($E5:P5)</f>
        <v>9.1381500000000102E-2</v>
      </c>
      <c r="Q28">
        <f>MAX($E5:Q5)</f>
        <v>9.1381500000000102E-2</v>
      </c>
      <c r="R28">
        <f>MAX($E5:R5)</f>
        <v>9.1381500000000102E-2</v>
      </c>
      <c r="S28">
        <f>MAX($E5:S5)</f>
        <v>9.1381500000000102E-2</v>
      </c>
      <c r="T28">
        <f>MAX($E5:T5)</f>
        <v>9.1381500000000102E-2</v>
      </c>
      <c r="U28">
        <f>MAX($E5:U5)</f>
        <v>0.10319225</v>
      </c>
      <c r="V28">
        <f>MAX($E5:V5)</f>
        <v>0.12711049999999999</v>
      </c>
      <c r="W28">
        <f>MAX($E5:W5)</f>
        <v>0.12711049999999999</v>
      </c>
      <c r="X28">
        <f>MAX($E5:X5)</f>
        <v>0.12711049999999999</v>
      </c>
      <c r="Y28">
        <f>MAX($E5:Y5)</f>
        <v>0.12711049999999999</v>
      </c>
      <c r="Z28">
        <f>MAX($E5:Z5)</f>
        <v>0.12711049999999999</v>
      </c>
      <c r="AA28">
        <f>MAX($E5:AA5)</f>
        <v>0.12711049999999999</v>
      </c>
      <c r="AB28">
        <f>MAX($E5:AB5)</f>
        <v>0.12711049999999999</v>
      </c>
      <c r="AC28">
        <f>MAX($E5:AC5)</f>
        <v>0.12711049999999999</v>
      </c>
      <c r="AD28">
        <f>MAX($E5:AD5)</f>
        <v>0.12711049999999999</v>
      </c>
      <c r="AE28">
        <f>MAX($E5:AE5)</f>
        <v>0.12711049999999999</v>
      </c>
      <c r="AF28">
        <f>MAX($E5:AF5)</f>
        <v>0.29542750000000001</v>
      </c>
      <c r="AG28">
        <f>MAX($E5:AG5)</f>
        <v>0.36634499999999998</v>
      </c>
      <c r="AH28">
        <f>MAX($E5:AH5)</f>
        <v>0.38935750000000002</v>
      </c>
      <c r="AI28">
        <f>MAX($E5:AI5)</f>
        <v>0.38935750000000002</v>
      </c>
      <c r="AJ28">
        <f>MAX($E5:AJ5)</f>
        <v>0.38935750000000002</v>
      </c>
      <c r="AK28">
        <f>MAX($E5:AK5)</f>
        <v>0.41304249999999998</v>
      </c>
      <c r="AL28">
        <f>MAX($E5:AL5)</f>
        <v>0.41555999999999998</v>
      </c>
      <c r="AM28">
        <f>MAX($E5:AM5)</f>
        <v>0.47377000000000002</v>
      </c>
      <c r="AN28">
        <f>MAX($E5:AN5)</f>
        <v>0.53490499999999996</v>
      </c>
      <c r="AO28">
        <f>MAX($E5:AO5)</f>
        <v>0.53490499999999996</v>
      </c>
      <c r="AP28">
        <f>MAX($E5:AP5)</f>
        <v>0.53490499999999996</v>
      </c>
      <c r="AQ28">
        <f>MAX($E5:AQ5)</f>
        <v>0.57381000000000004</v>
      </c>
      <c r="AR28">
        <f>MAX($E5:AR5)</f>
        <v>0.57381000000000004</v>
      </c>
      <c r="AS28">
        <f>MAX($E5:AS5)</f>
        <v>0.57381000000000004</v>
      </c>
      <c r="AT28">
        <f>MAX($E5:AT5)</f>
        <v>0.57381000000000004</v>
      </c>
      <c r="AU28">
        <f>MAX($E5:AU5)</f>
        <v>0.59014250000000001</v>
      </c>
      <c r="AV28">
        <f>MAX($E5:AV5)</f>
        <v>0.59014250000000001</v>
      </c>
      <c r="AW28">
        <f>MAX($E5:AW5)</f>
        <v>0.59014250000000001</v>
      </c>
      <c r="AX28">
        <f>MAX($E5:AX5)</f>
        <v>0.67319499999999999</v>
      </c>
      <c r="AY28">
        <f>MAX($E5:AY5)</f>
        <v>0.67319499999999999</v>
      </c>
      <c r="AZ28">
        <f>MAX($E5:AZ5)</f>
        <v>0.67319499999999999</v>
      </c>
      <c r="BA28">
        <f>MAX($E5:BA5)</f>
        <v>0.67319499999999999</v>
      </c>
      <c r="BB28">
        <f>MAX($E5:BB5)</f>
        <v>0.67319499999999999</v>
      </c>
      <c r="BC28">
        <f>MAX($E5:BC5)</f>
        <v>0.67319499999999999</v>
      </c>
      <c r="BD28">
        <f>MAX($E5:BD5)</f>
        <v>0.67319499999999999</v>
      </c>
      <c r="BE28">
        <f>MAX($E5:BE5)</f>
        <v>0.67319499999999999</v>
      </c>
      <c r="BF28">
        <f>MAX($E5:BF5)</f>
        <v>0.67319499999999999</v>
      </c>
      <c r="BG28">
        <f>MAX($E5:BG5)</f>
        <v>0.67319499999999999</v>
      </c>
      <c r="BH28">
        <f>MAX($E5:BH5)</f>
        <v>0.67319499999999999</v>
      </c>
      <c r="BI28">
        <f>MAX($E5:BI5)</f>
        <v>0.67319499999999999</v>
      </c>
      <c r="BJ28">
        <f>MAX($E5:BJ5)</f>
        <v>0.67319499999999999</v>
      </c>
    </row>
    <row r="29" spans="1:62" x14ac:dyDescent="0.25">
      <c r="A29">
        <f t="shared" si="5"/>
        <v>1.92931714717745</v>
      </c>
      <c r="B29">
        <f t="shared" si="5"/>
        <v>2.2090681335181803</v>
      </c>
      <c r="C29">
        <f t="shared" si="5"/>
        <v>0.51831810102500708</v>
      </c>
      <c r="E29">
        <f>MAX($E6:E6)</f>
        <v>0</v>
      </c>
      <c r="F29">
        <f>MAX($E6:F6)</f>
        <v>1.343125E-2</v>
      </c>
      <c r="G29">
        <f>MAX($E6:G6)</f>
        <v>2.6853499999999999E-2</v>
      </c>
      <c r="H29">
        <f>MAX($E6:H6)</f>
        <v>7.1340500000000001E-2</v>
      </c>
      <c r="I29">
        <f>MAX($E6:I6)</f>
        <v>7.1340500000000001E-2</v>
      </c>
      <c r="J29">
        <f>MAX($E6:J6)</f>
        <v>7.1340500000000001E-2</v>
      </c>
      <c r="K29">
        <f>MAX($E6:K6)</f>
        <v>7.1340500000000001E-2</v>
      </c>
      <c r="L29">
        <f>MAX($E6:L6)</f>
        <v>7.1340500000000001E-2</v>
      </c>
      <c r="M29">
        <f>MAX($E6:M6)</f>
        <v>7.1340500000000001E-2</v>
      </c>
      <c r="N29">
        <f>MAX($E6:N6)</f>
        <v>7.1340500000000001E-2</v>
      </c>
      <c r="O29">
        <f>MAX($E6:O6)</f>
        <v>7.9340499999999994E-2</v>
      </c>
      <c r="P29">
        <f>MAX($E6:P6)</f>
        <v>7.9340499999999994E-2</v>
      </c>
      <c r="Q29">
        <f>MAX($E6:Q6)</f>
        <v>7.9340499999999994E-2</v>
      </c>
      <c r="R29">
        <f>MAX($E6:R6)</f>
        <v>7.9340499999999994E-2</v>
      </c>
      <c r="S29">
        <f>MAX($E6:S6)</f>
        <v>7.9340499999999994E-2</v>
      </c>
      <c r="T29">
        <f>MAX($E6:T6)</f>
        <v>7.9340499999999994E-2</v>
      </c>
      <c r="U29">
        <f>MAX($E6:U6)</f>
        <v>8.7815249999999997E-2</v>
      </c>
      <c r="V29">
        <f>MAX($E6:V6)</f>
        <v>0.11438125</v>
      </c>
      <c r="W29">
        <f>MAX($E6:W6)</f>
        <v>0.11438125</v>
      </c>
      <c r="X29">
        <f>MAX($E6:X6)</f>
        <v>0.11438125</v>
      </c>
      <c r="Y29">
        <f>MAX($E6:Y6)</f>
        <v>0.11438125</v>
      </c>
      <c r="Z29">
        <f>MAX($E6:Z6)</f>
        <v>0.11438125</v>
      </c>
      <c r="AA29">
        <f>MAX($E6:AA6)</f>
        <v>0.11438125</v>
      </c>
      <c r="AB29">
        <f>MAX($E6:AB6)</f>
        <v>0.11438125</v>
      </c>
      <c r="AC29">
        <f>MAX($E6:AC6)</f>
        <v>0.11438125</v>
      </c>
      <c r="AD29">
        <f>MAX($E6:AD6)</f>
        <v>0.11438125</v>
      </c>
      <c r="AE29">
        <f>MAX($E6:AE6)</f>
        <v>0.11438125</v>
      </c>
      <c r="AF29">
        <f>MAX($E6:AF6)</f>
        <v>0.24604000000000001</v>
      </c>
      <c r="AG29">
        <f>MAX($E6:AG6)</f>
        <v>0.31964749999999997</v>
      </c>
      <c r="AH29">
        <f>MAX($E6:AH6)</f>
        <v>0.33978000000000003</v>
      </c>
      <c r="AI29">
        <f>MAX($E6:AI6)</f>
        <v>0.34003250000000002</v>
      </c>
      <c r="AJ29">
        <f>MAX($E6:AJ6)</f>
        <v>0.34003250000000002</v>
      </c>
      <c r="AK29">
        <f>MAX($E6:AK6)</f>
        <v>0.385965</v>
      </c>
      <c r="AL29">
        <f>MAX($E6:AL6)</f>
        <v>0.385965</v>
      </c>
      <c r="AM29">
        <f>MAX($E6:AM6)</f>
        <v>0.45010499999999998</v>
      </c>
      <c r="AN29">
        <f>MAX($E6:AN6)</f>
        <v>0.51420250000000001</v>
      </c>
      <c r="AO29">
        <f>MAX($E6:AO6)</f>
        <v>0.51420250000000001</v>
      </c>
      <c r="AP29">
        <f>MAX($E6:AP6)</f>
        <v>0.51420250000000001</v>
      </c>
      <c r="AQ29">
        <f>MAX($E6:AQ6)</f>
        <v>0.54436000000000095</v>
      </c>
      <c r="AR29">
        <f>MAX($E6:AR6)</f>
        <v>0.54436000000000095</v>
      </c>
      <c r="AS29">
        <f>MAX($E6:AS6)</f>
        <v>0.54436000000000095</v>
      </c>
      <c r="AT29">
        <f>MAX($E6:AT6)</f>
        <v>0.54436000000000095</v>
      </c>
      <c r="AU29">
        <f>MAX($E6:AU6)</f>
        <v>0.55276000000000003</v>
      </c>
      <c r="AV29">
        <f>MAX($E6:AV6)</f>
        <v>0.55277500000000002</v>
      </c>
      <c r="AW29">
        <f>MAX($E6:AW6)</f>
        <v>0.55277500000000002</v>
      </c>
      <c r="AX29">
        <f>MAX($E6:AX6)</f>
        <v>0.636185</v>
      </c>
      <c r="AY29">
        <f>MAX($E6:AY6)</f>
        <v>0.636185</v>
      </c>
      <c r="AZ29">
        <f>MAX($E6:AZ6)</f>
        <v>0.636185</v>
      </c>
      <c r="BA29">
        <f>MAX($E6:BA6)</f>
        <v>0.636185</v>
      </c>
      <c r="BB29">
        <f>MAX($E6:BB6)</f>
        <v>0.636185</v>
      </c>
      <c r="BC29">
        <f>MAX($E6:BC6)</f>
        <v>0.636185</v>
      </c>
      <c r="BD29">
        <f>MAX($E6:BD6)</f>
        <v>0.636185</v>
      </c>
      <c r="BE29">
        <f>MAX($E6:BE6)</f>
        <v>0.636185</v>
      </c>
      <c r="BF29">
        <f>MAX($E6:BF6)</f>
        <v>0.636185</v>
      </c>
      <c r="BG29">
        <f>MAX($E6:BG6)</f>
        <v>0.636185</v>
      </c>
      <c r="BH29">
        <f>MAX($E6:BH6)</f>
        <v>0.636185</v>
      </c>
      <c r="BI29">
        <f>MAX($E6:BI6)</f>
        <v>0.636185</v>
      </c>
      <c r="BJ29">
        <f>MAX($E6:BJ6)</f>
        <v>0.636185</v>
      </c>
    </row>
    <row r="30" spans="1:62" x14ac:dyDescent="0.25">
      <c r="A30">
        <f t="shared" si="5"/>
        <v>1.8419809026359599</v>
      </c>
      <c r="B30">
        <f t="shared" si="5"/>
        <v>2.109068133518174</v>
      </c>
      <c r="C30">
        <f t="shared" si="5"/>
        <v>0.54289379361585877</v>
      </c>
      <c r="E30">
        <f>MAX($E7:E7)</f>
        <v>0</v>
      </c>
      <c r="F30">
        <f>MAX($E7:F7)</f>
        <v>1.466375E-2</v>
      </c>
      <c r="G30">
        <f>MAX($E7:G7)</f>
        <v>2.5523500000000001E-2</v>
      </c>
      <c r="H30">
        <f>MAX($E7:H7)</f>
        <v>6.3964499999999994E-2</v>
      </c>
      <c r="I30">
        <f>MAX($E7:I7)</f>
        <v>6.3964499999999994E-2</v>
      </c>
      <c r="J30">
        <f>MAX($E7:J7)</f>
        <v>6.3964499999999994E-2</v>
      </c>
      <c r="K30">
        <f>MAX($E7:K7)</f>
        <v>6.3964499999999994E-2</v>
      </c>
      <c r="L30">
        <f>MAX($E7:L7)</f>
        <v>6.3964499999999994E-2</v>
      </c>
      <c r="M30">
        <f>MAX($E7:M7)</f>
        <v>6.3964499999999994E-2</v>
      </c>
      <c r="N30">
        <f>MAX($E7:N7)</f>
        <v>6.3964499999999994E-2</v>
      </c>
      <c r="O30">
        <f>MAX($E7:O7)</f>
        <v>7.8459000000000001E-2</v>
      </c>
      <c r="P30">
        <f>MAX($E7:P7)</f>
        <v>7.8459000000000001E-2</v>
      </c>
      <c r="Q30">
        <f>MAX($E7:Q7)</f>
        <v>7.8459000000000001E-2</v>
      </c>
      <c r="R30">
        <f>MAX($E7:R7)</f>
        <v>7.8459000000000001E-2</v>
      </c>
      <c r="S30">
        <f>MAX($E7:S7)</f>
        <v>7.8459000000000001E-2</v>
      </c>
      <c r="T30">
        <f>MAX($E7:T7)</f>
        <v>7.8459000000000001E-2</v>
      </c>
      <c r="U30">
        <f>MAX($E7:U7)</f>
        <v>7.9876000000000003E-2</v>
      </c>
      <c r="V30">
        <f>MAX($E7:V7)</f>
        <v>0.1073775</v>
      </c>
      <c r="W30">
        <f>MAX($E7:W7)</f>
        <v>0.1073775</v>
      </c>
      <c r="X30">
        <f>MAX($E7:X7)</f>
        <v>0.1073775</v>
      </c>
      <c r="Y30">
        <f>MAX($E7:Y7)</f>
        <v>0.1073775</v>
      </c>
      <c r="Z30">
        <f>MAX($E7:Z7)</f>
        <v>0.1073775</v>
      </c>
      <c r="AA30">
        <f>MAX($E7:AA7)</f>
        <v>0.1073775</v>
      </c>
      <c r="AB30">
        <f>MAX($E7:AB7)</f>
        <v>0.1073775</v>
      </c>
      <c r="AC30">
        <f>MAX($E7:AC7)</f>
        <v>0.1073775</v>
      </c>
      <c r="AD30">
        <f>MAX($E7:AD7)</f>
        <v>0.1073775</v>
      </c>
      <c r="AE30">
        <f>MAX($E7:AE7)</f>
        <v>0.1073775</v>
      </c>
      <c r="AF30">
        <f>MAX($E7:AF7)</f>
        <v>0.2311175</v>
      </c>
      <c r="AG30">
        <f>MAX($E7:AG7)</f>
        <v>0.30438749999999998</v>
      </c>
      <c r="AH30">
        <f>MAX($E7:AH7)</f>
        <v>0.32172499999999998</v>
      </c>
      <c r="AI30">
        <f>MAX($E7:AI7)</f>
        <v>0.322855</v>
      </c>
      <c r="AJ30">
        <f>MAX($E7:AJ7)</f>
        <v>0.322855</v>
      </c>
      <c r="AK30">
        <f>MAX($E7:AK7)</f>
        <v>0.35510000000000003</v>
      </c>
      <c r="AL30">
        <f>MAX($E7:AL7)</f>
        <v>0.35510000000000003</v>
      </c>
      <c r="AM30">
        <f>MAX($E7:AM7)</f>
        <v>0.42491000000000001</v>
      </c>
      <c r="AN30">
        <f>MAX($E7:AN7)</f>
        <v>0.484265</v>
      </c>
      <c r="AO30">
        <f>MAX($E7:AO7)</f>
        <v>0.484265</v>
      </c>
      <c r="AP30">
        <f>MAX($E7:AP7)</f>
        <v>0.484265</v>
      </c>
      <c r="AQ30">
        <f>MAX($E7:AQ7)</f>
        <v>0.50680499999999995</v>
      </c>
      <c r="AR30">
        <f>MAX($E7:AR7)</f>
        <v>0.50680499999999995</v>
      </c>
      <c r="AS30">
        <f>MAX($E7:AS7)</f>
        <v>0.50680499999999995</v>
      </c>
      <c r="AT30">
        <f>MAX($E7:AT7)</f>
        <v>0.50680499999999995</v>
      </c>
      <c r="AU30">
        <f>MAX($E7:AU7)</f>
        <v>0.51230750000000003</v>
      </c>
      <c r="AV30">
        <f>MAX($E7:AV7)</f>
        <v>0.51473000000000002</v>
      </c>
      <c r="AW30">
        <f>MAX($E7:AW7)</f>
        <v>0.51473000000000002</v>
      </c>
      <c r="AX30">
        <f>MAX($E7:AX7)</f>
        <v>0.60053999999999996</v>
      </c>
      <c r="AY30">
        <f>MAX($E7:AY7)</f>
        <v>0.60053999999999996</v>
      </c>
      <c r="AZ30">
        <f>MAX($E7:AZ7)</f>
        <v>0.60053999999999996</v>
      </c>
      <c r="BA30">
        <f>MAX($E7:BA7)</f>
        <v>0.60053999999999996</v>
      </c>
      <c r="BB30">
        <f>MAX($E7:BB7)</f>
        <v>0.60053999999999996</v>
      </c>
      <c r="BC30">
        <f>MAX($E7:BC7)</f>
        <v>0.60053999999999996</v>
      </c>
      <c r="BD30">
        <f>MAX($E7:BD7)</f>
        <v>0.60053999999999996</v>
      </c>
      <c r="BE30">
        <f>MAX($E7:BE7)</f>
        <v>0.60053999999999996</v>
      </c>
      <c r="BF30">
        <f>MAX($E7:BF7)</f>
        <v>0.60053999999999996</v>
      </c>
      <c r="BG30">
        <f>MAX($E7:BG7)</f>
        <v>0.60053999999999996</v>
      </c>
      <c r="BH30">
        <f>MAX($E7:BH7)</f>
        <v>0.60053999999999996</v>
      </c>
      <c r="BI30">
        <f>MAX($E7:BI7)</f>
        <v>0.60053999999999996</v>
      </c>
      <c r="BJ30">
        <f>MAX($E7:BJ7)</f>
        <v>0.60053999999999996</v>
      </c>
    </row>
    <row r="31" spans="1:62" x14ac:dyDescent="0.25">
      <c r="A31">
        <f t="shared" si="5"/>
        <v>1.7546446580944799</v>
      </c>
      <c r="B31">
        <f t="shared" si="5"/>
        <v>2.0090681335181797</v>
      </c>
      <c r="C31">
        <f t="shared" si="5"/>
        <v>0.56991596297679226</v>
      </c>
      <c r="E31">
        <f>MAX($E8:E8)</f>
        <v>0</v>
      </c>
      <c r="F31">
        <f>MAX($E8:F8)</f>
        <v>2.83185E-2</v>
      </c>
      <c r="G31">
        <f>MAX($E8:G8)</f>
        <v>3.3794999999999999E-2</v>
      </c>
      <c r="H31">
        <f>MAX($E8:H8)</f>
        <v>8.3948999999999996E-2</v>
      </c>
      <c r="I31">
        <f>MAX($E8:I8)</f>
        <v>8.3948999999999996E-2</v>
      </c>
      <c r="J31">
        <f>MAX($E8:J8)</f>
        <v>8.3948999999999996E-2</v>
      </c>
      <c r="K31">
        <f>MAX($E8:K8)</f>
        <v>8.3948999999999996E-2</v>
      </c>
      <c r="L31">
        <f>MAX($E8:L8)</f>
        <v>8.3948999999999996E-2</v>
      </c>
      <c r="M31">
        <f>MAX($E8:M8)</f>
        <v>8.3948999999999996E-2</v>
      </c>
      <c r="N31">
        <f>MAX($E8:N8)</f>
        <v>8.3948999999999996E-2</v>
      </c>
      <c r="O31">
        <f>MAX($E8:O8)</f>
        <v>0.10098475</v>
      </c>
      <c r="P31">
        <f>MAX($E8:P8)</f>
        <v>0.10098475</v>
      </c>
      <c r="Q31">
        <f>MAX($E8:Q8)</f>
        <v>0.10098475</v>
      </c>
      <c r="R31">
        <f>MAX($E8:R8)</f>
        <v>0.10098475</v>
      </c>
      <c r="S31">
        <f>MAX($E8:S8)</f>
        <v>0.10098475</v>
      </c>
      <c r="T31">
        <f>MAX($E8:T8)</f>
        <v>0.10098475</v>
      </c>
      <c r="U31">
        <f>MAX($E8:U8)</f>
        <v>0.10098475</v>
      </c>
      <c r="V31">
        <f>MAX($E8:V8)</f>
        <v>0.115582</v>
      </c>
      <c r="W31">
        <f>MAX($E8:W8)</f>
        <v>0.115582</v>
      </c>
      <c r="X31">
        <f>MAX($E8:X8)</f>
        <v>0.115582</v>
      </c>
      <c r="Y31">
        <f>MAX($E8:Y8)</f>
        <v>0.115582</v>
      </c>
      <c r="Z31">
        <f>MAX($E8:Z8)</f>
        <v>0.115582</v>
      </c>
      <c r="AA31">
        <f>MAX($E8:AA8)</f>
        <v>0.115582</v>
      </c>
      <c r="AB31">
        <f>MAX($E8:AB8)</f>
        <v>0.115582</v>
      </c>
      <c r="AC31">
        <f>MAX($E8:AC8)</f>
        <v>0.115582</v>
      </c>
      <c r="AD31">
        <f>MAX($E8:AD8)</f>
        <v>0.115582</v>
      </c>
      <c r="AE31">
        <f>MAX($E8:AE8)</f>
        <v>0.115582</v>
      </c>
      <c r="AF31">
        <f>MAX($E8:AF8)</f>
        <v>0.21657999999999999</v>
      </c>
      <c r="AG31">
        <f>MAX($E8:AG8)</f>
        <v>0.28700999999999999</v>
      </c>
      <c r="AH31">
        <f>MAX($E8:AH8)</f>
        <v>0.2883925</v>
      </c>
      <c r="AI31">
        <f>MAX($E8:AI8)</f>
        <v>0.30243750000000003</v>
      </c>
      <c r="AJ31">
        <f>MAX($E8:AJ8)</f>
        <v>0.30243750000000003</v>
      </c>
      <c r="AK31">
        <f>MAX($E8:AK8)</f>
        <v>0.3287775</v>
      </c>
      <c r="AL31">
        <f>MAX($E8:AL8)</f>
        <v>0.3287775</v>
      </c>
      <c r="AM31">
        <f>MAX($E8:AM8)</f>
        <v>0.40622249999999999</v>
      </c>
      <c r="AN31">
        <f>MAX($E8:AN8)</f>
        <v>0.45143749999999999</v>
      </c>
      <c r="AO31">
        <f>MAX($E8:AO8)</f>
        <v>0.45143749999999999</v>
      </c>
      <c r="AP31">
        <f>MAX($E8:AP8)</f>
        <v>0.45143749999999999</v>
      </c>
      <c r="AQ31">
        <f>MAX($E8:AQ8)</f>
        <v>0.48815500000000001</v>
      </c>
      <c r="AR31">
        <f>MAX($E8:AR8)</f>
        <v>0.48815500000000001</v>
      </c>
      <c r="AS31">
        <f>MAX($E8:AS8)</f>
        <v>0.48815500000000001</v>
      </c>
      <c r="AT31">
        <f>MAX($E8:AT8)</f>
        <v>0.49849500000000002</v>
      </c>
      <c r="AU31">
        <f>MAX($E8:AU8)</f>
        <v>0.58052999999999999</v>
      </c>
      <c r="AV31">
        <f>MAX($E8:AV8)</f>
        <v>0.58694749999999996</v>
      </c>
      <c r="AW31">
        <f>MAX($E8:AW8)</f>
        <v>0.58694749999999996</v>
      </c>
      <c r="AX31">
        <f>MAX($E8:AX8)</f>
        <v>0.68606500000000004</v>
      </c>
      <c r="AY31">
        <f>MAX($E8:AY8)</f>
        <v>0.68606500000000004</v>
      </c>
      <c r="AZ31">
        <f>MAX($E8:AZ8)</f>
        <v>0.68606500000000004</v>
      </c>
      <c r="BA31">
        <f>MAX($E8:BA8)</f>
        <v>0.68606500000000004</v>
      </c>
      <c r="BB31">
        <f>MAX($E8:BB8)</f>
        <v>0.68606500000000004</v>
      </c>
      <c r="BC31">
        <f>MAX($E8:BC8)</f>
        <v>0.68606500000000004</v>
      </c>
      <c r="BD31">
        <f>MAX($E8:BD8)</f>
        <v>0.68606500000000004</v>
      </c>
      <c r="BE31">
        <f>MAX($E8:BE8)</f>
        <v>0.68606500000000004</v>
      </c>
      <c r="BF31">
        <f>MAX($E8:BF8)</f>
        <v>0.68606500000000004</v>
      </c>
      <c r="BG31">
        <f>MAX($E8:BG8)</f>
        <v>0.68606500000000004</v>
      </c>
      <c r="BH31">
        <f>MAX($E8:BH8)</f>
        <v>0.68606500000000004</v>
      </c>
      <c r="BI31">
        <f>MAX($E8:BI8)</f>
        <v>0.68606500000000004</v>
      </c>
      <c r="BJ31">
        <f>MAX($E8:BJ8)</f>
        <v>0.68879500000000005</v>
      </c>
    </row>
    <row r="32" spans="1:62" x14ac:dyDescent="0.25">
      <c r="A32">
        <f t="shared" si="5"/>
        <v>1.6673084135529901</v>
      </c>
      <c r="B32">
        <f t="shared" si="5"/>
        <v>1.9090681335181736</v>
      </c>
      <c r="C32">
        <f t="shared" si="5"/>
        <v>0.59976906004392216</v>
      </c>
      <c r="E32">
        <f>MAX($E9:E9)</f>
        <v>0</v>
      </c>
      <c r="F32">
        <f>MAX($E9:F9)</f>
        <v>3.0874749999999999E-2</v>
      </c>
      <c r="G32">
        <f>MAX($E9:G9)</f>
        <v>3.0874749999999999E-2</v>
      </c>
      <c r="H32">
        <f>MAX($E9:H9)</f>
        <v>8.9398749999999999E-2</v>
      </c>
      <c r="I32">
        <f>MAX($E9:I9)</f>
        <v>8.9398749999999999E-2</v>
      </c>
      <c r="J32">
        <f>MAX($E9:J9)</f>
        <v>8.9398749999999999E-2</v>
      </c>
      <c r="K32">
        <f>MAX($E9:K9)</f>
        <v>8.9398749999999999E-2</v>
      </c>
      <c r="L32">
        <f>MAX($E9:L9)</f>
        <v>8.9398749999999999E-2</v>
      </c>
      <c r="M32">
        <f>MAX($E9:M9)</f>
        <v>8.9398749999999999E-2</v>
      </c>
      <c r="N32">
        <f>MAX($E9:N9)</f>
        <v>8.9398749999999999E-2</v>
      </c>
      <c r="O32">
        <f>MAX($E9:O9)</f>
        <v>0.107895</v>
      </c>
      <c r="P32">
        <f>MAX($E9:P9)</f>
        <v>0.107895</v>
      </c>
      <c r="Q32">
        <f>MAX($E9:Q9)</f>
        <v>0.107895</v>
      </c>
      <c r="R32">
        <f>MAX($E9:R9)</f>
        <v>0.107895</v>
      </c>
      <c r="S32">
        <f>MAX($E9:S9)</f>
        <v>0.107895</v>
      </c>
      <c r="T32">
        <f>MAX($E9:T9)</f>
        <v>0.107895</v>
      </c>
      <c r="U32">
        <f>MAX($E9:U9)</f>
        <v>0.107895</v>
      </c>
      <c r="V32">
        <f>MAX($E9:V9)</f>
        <v>0.124899</v>
      </c>
      <c r="W32">
        <f>MAX($E9:W9)</f>
        <v>0.124899</v>
      </c>
      <c r="X32">
        <f>MAX($E9:X9)</f>
        <v>0.124899</v>
      </c>
      <c r="Y32">
        <f>MAX($E9:Y9)</f>
        <v>0.124899</v>
      </c>
      <c r="Z32">
        <f>MAX($E9:Z9)</f>
        <v>0.124899</v>
      </c>
      <c r="AA32">
        <f>MAX($E9:AA9)</f>
        <v>0.124899</v>
      </c>
      <c r="AB32">
        <f>MAX($E9:AB9)</f>
        <v>0.124899</v>
      </c>
      <c r="AC32">
        <f>MAX($E9:AC9)</f>
        <v>0.124899</v>
      </c>
      <c r="AD32">
        <f>MAX($E9:AD9)</f>
        <v>0.124899</v>
      </c>
      <c r="AE32">
        <f>MAX($E9:AE9)</f>
        <v>0.124899</v>
      </c>
      <c r="AF32">
        <f>MAX($E9:AF9)</f>
        <v>0.124899</v>
      </c>
      <c r="AG32">
        <f>MAX($E9:AG9)</f>
        <v>0.146175</v>
      </c>
      <c r="AH32">
        <f>MAX($E9:AH9)</f>
        <v>0.1516525</v>
      </c>
      <c r="AI32">
        <f>MAX($E9:AI9)</f>
        <v>0.15353249999999999</v>
      </c>
      <c r="AJ32">
        <f>MAX($E9:AJ9)</f>
        <v>0.15353249999999999</v>
      </c>
      <c r="AK32">
        <f>MAX($E9:AK9)</f>
        <v>0.15353249999999999</v>
      </c>
      <c r="AL32">
        <f>MAX($E9:AL9)</f>
        <v>0.15353249999999999</v>
      </c>
      <c r="AM32">
        <f>MAX($E9:AM9)</f>
        <v>0.2400525</v>
      </c>
      <c r="AN32">
        <f>MAX($E9:AN9)</f>
        <v>0.26238</v>
      </c>
      <c r="AO32">
        <f>MAX($E9:AO9)</f>
        <v>0.26238</v>
      </c>
      <c r="AP32">
        <f>MAX($E9:AP9)</f>
        <v>0.26238</v>
      </c>
      <c r="AQ32">
        <f>MAX($E9:AQ9)</f>
        <v>0.28079999999999999</v>
      </c>
      <c r="AR32">
        <f>MAX($E9:AR9)</f>
        <v>0.28079999999999999</v>
      </c>
      <c r="AS32">
        <f>MAX($E9:AS9)</f>
        <v>0.28079999999999999</v>
      </c>
      <c r="AT32">
        <f>MAX($E9:AT9)</f>
        <v>0.31838</v>
      </c>
      <c r="AU32">
        <f>MAX($E9:AU9)</f>
        <v>0.40945749999999997</v>
      </c>
      <c r="AV32">
        <f>MAX($E9:AV9)</f>
        <v>0.42037750000000002</v>
      </c>
      <c r="AW32">
        <f>MAX($E9:AW9)</f>
        <v>0.42037750000000002</v>
      </c>
      <c r="AX32">
        <f>MAX($E9:AX9)</f>
        <v>0.54373499999999897</v>
      </c>
      <c r="AY32">
        <f>MAX($E9:AY9)</f>
        <v>0.54373499999999897</v>
      </c>
      <c r="AZ32">
        <f>MAX($E9:AZ9)</f>
        <v>0.54373499999999897</v>
      </c>
      <c r="BA32">
        <f>MAX($E9:BA9)</f>
        <v>0.54373499999999897</v>
      </c>
      <c r="BB32">
        <f>MAX($E9:BB9)</f>
        <v>0.54373499999999897</v>
      </c>
      <c r="BC32">
        <f>MAX($E9:BC9)</f>
        <v>0.54373499999999897</v>
      </c>
      <c r="BD32">
        <f>MAX($E9:BD9)</f>
        <v>0.54373499999999897</v>
      </c>
      <c r="BE32">
        <f>MAX($E9:BE9)</f>
        <v>0.54373499999999897</v>
      </c>
      <c r="BF32">
        <f>MAX($E9:BF9)</f>
        <v>0.54373499999999897</v>
      </c>
      <c r="BG32">
        <f>MAX($E9:BG9)</f>
        <v>0.54373499999999897</v>
      </c>
      <c r="BH32">
        <f>MAX($E9:BH9)</f>
        <v>0.54373499999999897</v>
      </c>
      <c r="BI32">
        <f>MAX($E9:BI9)</f>
        <v>0.54373499999999897</v>
      </c>
      <c r="BJ32">
        <f>MAX($E9:BJ9)</f>
        <v>0.54373499999999897</v>
      </c>
    </row>
    <row r="33" spans="1:63" x14ac:dyDescent="0.25">
      <c r="A33">
        <f t="shared" si="5"/>
        <v>1.5799721690115101</v>
      </c>
      <c r="B33">
        <f t="shared" si="5"/>
        <v>1.8090681335181791</v>
      </c>
      <c r="C33">
        <f t="shared" si="5"/>
        <v>0.63292254105060441</v>
      </c>
      <c r="E33">
        <f>MAX($E10:E10)</f>
        <v>0</v>
      </c>
      <c r="F33">
        <f>MAX($E10:F10)</f>
        <v>4.5587999999999997E-2</v>
      </c>
      <c r="G33">
        <f>MAX($E10:G10)</f>
        <v>4.5587999999999997E-2</v>
      </c>
      <c r="H33">
        <f>MAX($E10:H10)</f>
        <v>0.10870025</v>
      </c>
      <c r="I33">
        <f>MAX($E10:I10)</f>
        <v>0.10870025</v>
      </c>
      <c r="J33">
        <f>MAX($E10:J10)</f>
        <v>0.10870025</v>
      </c>
      <c r="K33">
        <f>MAX($E10:K10)</f>
        <v>0.10870025</v>
      </c>
      <c r="L33">
        <f>MAX($E10:L10)</f>
        <v>0.10870025</v>
      </c>
      <c r="M33">
        <f>MAX($E10:M10)</f>
        <v>0.10870025</v>
      </c>
      <c r="N33">
        <f>MAX($E10:N10)</f>
        <v>0.10870025</v>
      </c>
      <c r="O33">
        <f>MAX($E10:O10)</f>
        <v>0.12681624999999999</v>
      </c>
      <c r="P33">
        <f>MAX($E10:P10)</f>
        <v>0.12681624999999999</v>
      </c>
      <c r="Q33">
        <f>MAX($E10:Q10)</f>
        <v>0.12681624999999999</v>
      </c>
      <c r="R33">
        <f>MAX($E10:R10)</f>
        <v>0.12681624999999999</v>
      </c>
      <c r="S33">
        <f>MAX($E10:S10)</f>
        <v>0.12681624999999999</v>
      </c>
      <c r="T33">
        <f>MAX($E10:T10)</f>
        <v>0.12681624999999999</v>
      </c>
      <c r="U33">
        <f>MAX($E10:U10)</f>
        <v>0.12681624999999999</v>
      </c>
      <c r="V33">
        <f>MAX($E10:V10)</f>
        <v>0.14762025000000001</v>
      </c>
      <c r="W33">
        <f>MAX($E10:W10)</f>
        <v>0.14762025000000001</v>
      </c>
      <c r="X33">
        <f>MAX($E10:X10)</f>
        <v>0.14762025000000001</v>
      </c>
      <c r="Y33">
        <f>MAX($E10:Y10)</f>
        <v>0.14762025000000001</v>
      </c>
      <c r="Z33">
        <f>MAX($E10:Z10)</f>
        <v>0.14762025000000001</v>
      </c>
      <c r="AA33">
        <f>MAX($E10:AA10)</f>
        <v>0.14762025000000001</v>
      </c>
      <c r="AB33">
        <f>MAX($E10:AB10)</f>
        <v>0.14762025000000001</v>
      </c>
      <c r="AC33">
        <f>MAX($E10:AC10)</f>
        <v>0.14762025000000001</v>
      </c>
      <c r="AD33">
        <f>MAX($E10:AD10)</f>
        <v>0.14762025000000001</v>
      </c>
      <c r="AE33">
        <f>MAX($E10:AE10)</f>
        <v>0.14762025000000001</v>
      </c>
      <c r="AF33">
        <f>MAX($E10:AF10)</f>
        <v>0.14762025000000001</v>
      </c>
      <c r="AG33">
        <f>MAX($E10:AG10)</f>
        <v>0.14762025000000001</v>
      </c>
      <c r="AH33">
        <f>MAX($E10:AH10)</f>
        <v>0.14762025000000001</v>
      </c>
      <c r="AI33">
        <f>MAX($E10:AI10)</f>
        <v>0.14762025000000001</v>
      </c>
      <c r="AJ33">
        <f>MAX($E10:AJ10)</f>
        <v>0.14762025000000001</v>
      </c>
      <c r="AK33">
        <f>MAX($E10:AK10)</f>
        <v>0.14762025000000001</v>
      </c>
      <c r="AL33">
        <f>MAX($E10:AL10)</f>
        <v>0.14762025000000001</v>
      </c>
      <c r="AM33">
        <f>MAX($E10:AM10)</f>
        <v>0.23538249999999999</v>
      </c>
      <c r="AN33">
        <f>MAX($E10:AN10)</f>
        <v>0.25355499999999997</v>
      </c>
      <c r="AO33">
        <f>MAX($E10:AO10)</f>
        <v>0.25355499999999997</v>
      </c>
      <c r="AP33">
        <f>MAX($E10:AP10)</f>
        <v>0.25355499999999997</v>
      </c>
      <c r="AQ33">
        <f>MAX($E10:AQ10)</f>
        <v>0.25355499999999997</v>
      </c>
      <c r="AR33">
        <f>MAX($E10:AR10)</f>
        <v>0.25355499999999997</v>
      </c>
      <c r="AS33">
        <f>MAX($E10:AS10)</f>
        <v>0.25355499999999997</v>
      </c>
      <c r="AT33">
        <f>MAX($E10:AT10)</f>
        <v>0.30003750000000001</v>
      </c>
      <c r="AU33">
        <f>MAX($E10:AU10)</f>
        <v>0.43590250000000003</v>
      </c>
      <c r="AV33">
        <f>MAX($E10:AV10)</f>
        <v>0.44949</v>
      </c>
      <c r="AW33">
        <f>MAX($E10:AW10)</f>
        <v>0.44949</v>
      </c>
      <c r="AX33">
        <f>MAX($E10:AX10)</f>
        <v>0.59615750000000001</v>
      </c>
      <c r="AY33">
        <f>MAX($E10:AY10)</f>
        <v>0.59615750000000001</v>
      </c>
      <c r="AZ33">
        <f>MAX($E10:AZ10)</f>
        <v>0.59615750000000001</v>
      </c>
      <c r="BA33">
        <f>MAX($E10:BA10)</f>
        <v>0.59615750000000001</v>
      </c>
      <c r="BB33">
        <f>MAX($E10:BB10)</f>
        <v>0.59615750000000001</v>
      </c>
      <c r="BC33">
        <f>MAX($E10:BC10)</f>
        <v>0.59615750000000001</v>
      </c>
      <c r="BD33">
        <f>MAX($E10:BD10)</f>
        <v>0.59615750000000001</v>
      </c>
      <c r="BE33">
        <f>MAX($E10:BE10)</f>
        <v>0.59615750000000001</v>
      </c>
      <c r="BF33">
        <f>MAX($E10:BF10)</f>
        <v>0.59615750000000001</v>
      </c>
      <c r="BG33">
        <f>MAX($E10:BG10)</f>
        <v>0.59615750000000001</v>
      </c>
      <c r="BH33">
        <f>MAX($E10:BH10)</f>
        <v>0.59615750000000001</v>
      </c>
      <c r="BI33">
        <f>MAX($E10:BI10)</f>
        <v>0.59615750000000001</v>
      </c>
      <c r="BJ33">
        <f>MAX($E10:BJ10)</f>
        <v>0.61388750000000003</v>
      </c>
    </row>
    <row r="34" spans="1:63" x14ac:dyDescent="0.25">
      <c r="A34" s="3"/>
      <c r="B34" s="3"/>
      <c r="C34" s="3"/>
    </row>
    <row r="35" spans="1:63" x14ac:dyDescent="0.25">
      <c r="A35" s="3"/>
      <c r="B35" s="3"/>
      <c r="C35" s="3"/>
    </row>
    <row r="36" spans="1:63" x14ac:dyDescent="0.25">
      <c r="A36" s="3"/>
      <c r="B36" s="3"/>
      <c r="C36" s="3"/>
    </row>
    <row r="37" spans="1:63" x14ac:dyDescent="0.25">
      <c r="A37" s="3"/>
      <c r="B37" s="3"/>
      <c r="C37" s="3"/>
    </row>
    <row r="38" spans="1:63" x14ac:dyDescent="0.25">
      <c r="A38" s="3"/>
      <c r="B38" s="3"/>
      <c r="C38" s="3"/>
    </row>
    <row r="39" spans="1:63" x14ac:dyDescent="0.25">
      <c r="A39" s="3"/>
      <c r="B39" s="3"/>
      <c r="C39" s="3"/>
    </row>
    <row r="40" spans="1:63" x14ac:dyDescent="0.25">
      <c r="A40" s="3"/>
      <c r="B40" s="3"/>
      <c r="C40" s="3"/>
    </row>
    <row r="41" spans="1:63" x14ac:dyDescent="0.25">
      <c r="A41" s="3"/>
      <c r="B41" s="3"/>
      <c r="C41" s="3"/>
    </row>
    <row r="42" spans="1:63" x14ac:dyDescent="0.25">
      <c r="A42" s="3"/>
      <c r="B42" s="3"/>
      <c r="C42" s="3"/>
    </row>
    <row r="43" spans="1:63" x14ac:dyDescent="0.25">
      <c r="A43" s="3"/>
      <c r="B43" s="3"/>
      <c r="C43" s="3"/>
    </row>
    <row r="44" spans="1:63" x14ac:dyDescent="0.25">
      <c r="A44" s="3"/>
      <c r="B44" s="3"/>
      <c r="C44" s="3"/>
    </row>
    <row r="45" spans="1:63" x14ac:dyDescent="0.25">
      <c r="A45" s="3"/>
      <c r="B45" s="3"/>
      <c r="C45" s="3"/>
    </row>
    <row r="47" spans="1:63" x14ac:dyDescent="0.25">
      <c r="D47" s="2" t="s">
        <v>1</v>
      </c>
      <c r="E47">
        <f>MAX(E26:E45)</f>
        <v>0</v>
      </c>
      <c r="F47">
        <f t="shared" ref="F47:BJ47" si="6">MAX(F26:F45)</f>
        <v>4.5587999999999997E-2</v>
      </c>
      <c r="G47">
        <f t="shared" si="6"/>
        <v>4.5587999999999997E-2</v>
      </c>
      <c r="H47">
        <f t="shared" si="6"/>
        <v>0.10870025</v>
      </c>
      <c r="I47">
        <f t="shared" si="6"/>
        <v>0.10870025</v>
      </c>
      <c r="J47">
        <f t="shared" si="6"/>
        <v>0.10870025</v>
      </c>
      <c r="K47">
        <f t="shared" si="6"/>
        <v>0.10870025</v>
      </c>
      <c r="L47">
        <f t="shared" si="6"/>
        <v>0.10870025</v>
      </c>
      <c r="M47">
        <f t="shared" si="6"/>
        <v>0.10870025</v>
      </c>
      <c r="N47">
        <f t="shared" si="6"/>
        <v>0.10870025</v>
      </c>
      <c r="O47">
        <f t="shared" si="6"/>
        <v>0.12681624999999999</v>
      </c>
      <c r="P47">
        <f t="shared" si="6"/>
        <v>0.12681624999999999</v>
      </c>
      <c r="Q47">
        <f t="shared" si="6"/>
        <v>0.12681624999999999</v>
      </c>
      <c r="R47">
        <f t="shared" si="6"/>
        <v>0.12681624999999999</v>
      </c>
      <c r="S47">
        <f>MAX(S26:S45)</f>
        <v>0.12681624999999999</v>
      </c>
      <c r="T47">
        <f t="shared" si="6"/>
        <v>0.12681624999999999</v>
      </c>
      <c r="U47">
        <f t="shared" si="6"/>
        <v>0.12681624999999999</v>
      </c>
      <c r="V47">
        <f t="shared" si="6"/>
        <v>0.14762025000000001</v>
      </c>
      <c r="W47">
        <f t="shared" si="6"/>
        <v>0.14762025000000001</v>
      </c>
      <c r="X47">
        <f t="shared" si="6"/>
        <v>0.14762025000000001</v>
      </c>
      <c r="Y47">
        <f t="shared" si="6"/>
        <v>0.14762025000000001</v>
      </c>
      <c r="Z47">
        <f t="shared" si="6"/>
        <v>0.14762025000000001</v>
      </c>
      <c r="AA47">
        <f t="shared" si="6"/>
        <v>0.14762025000000001</v>
      </c>
      <c r="AB47">
        <f t="shared" si="6"/>
        <v>0.14762025000000001</v>
      </c>
      <c r="AC47">
        <f t="shared" si="6"/>
        <v>0.16493374999999999</v>
      </c>
      <c r="AD47">
        <f t="shared" si="6"/>
        <v>0.23403674999999999</v>
      </c>
      <c r="AE47">
        <f t="shared" si="6"/>
        <v>0.23403674999999999</v>
      </c>
      <c r="AF47">
        <f t="shared" si="6"/>
        <v>0.41857149999999999</v>
      </c>
      <c r="AG47">
        <f t="shared" si="6"/>
        <v>0.47238225</v>
      </c>
      <c r="AH47">
        <f t="shared" si="6"/>
        <v>0.49106250000000001</v>
      </c>
      <c r="AI47">
        <f t="shared" si="6"/>
        <v>0.49106250000000001</v>
      </c>
      <c r="AJ47">
        <f t="shared" si="6"/>
        <v>0.49106250000000001</v>
      </c>
      <c r="AK47">
        <f t="shared" si="6"/>
        <v>0.52452750000000004</v>
      </c>
      <c r="AL47">
        <f t="shared" si="6"/>
        <v>0.53215749999999995</v>
      </c>
      <c r="AM47">
        <f t="shared" si="6"/>
        <v>0.57735749999999997</v>
      </c>
      <c r="AN47">
        <f t="shared" si="6"/>
        <v>0.66470499999999999</v>
      </c>
      <c r="AO47">
        <f t="shared" si="6"/>
        <v>0.66470499999999999</v>
      </c>
      <c r="AP47">
        <f t="shared" si="6"/>
        <v>0.66470499999999999</v>
      </c>
      <c r="AQ47">
        <f t="shared" si="6"/>
        <v>0.70345749999999996</v>
      </c>
      <c r="AR47">
        <f t="shared" si="6"/>
        <v>0.70345749999999996</v>
      </c>
      <c r="AS47">
        <f t="shared" si="6"/>
        <v>0.70345749999999996</v>
      </c>
      <c r="AT47">
        <f t="shared" si="6"/>
        <v>0.70345749999999996</v>
      </c>
      <c r="AU47">
        <f t="shared" si="6"/>
        <v>0.70907500000000001</v>
      </c>
      <c r="AV47">
        <f t="shared" si="6"/>
        <v>0.71024750000000003</v>
      </c>
      <c r="AW47">
        <f t="shared" si="6"/>
        <v>0.715292500000001</v>
      </c>
      <c r="AX47">
        <f t="shared" si="6"/>
        <v>0.7895375</v>
      </c>
      <c r="AY47">
        <f t="shared" si="6"/>
        <v>0.7895375</v>
      </c>
      <c r="AZ47">
        <f t="shared" si="6"/>
        <v>0.7895375</v>
      </c>
      <c r="BA47">
        <f t="shared" si="6"/>
        <v>0.7895375</v>
      </c>
      <c r="BB47">
        <f t="shared" si="6"/>
        <v>0.7895375</v>
      </c>
      <c r="BC47">
        <f t="shared" si="6"/>
        <v>0.7895375</v>
      </c>
      <c r="BD47">
        <f t="shared" si="6"/>
        <v>0.7895375</v>
      </c>
      <c r="BE47">
        <f t="shared" si="6"/>
        <v>0.7895375</v>
      </c>
      <c r="BF47">
        <f t="shared" si="6"/>
        <v>0.7895375</v>
      </c>
      <c r="BG47">
        <f t="shared" si="6"/>
        <v>0.7895375</v>
      </c>
      <c r="BH47">
        <f t="shared" si="6"/>
        <v>0.7895375</v>
      </c>
      <c r="BI47">
        <f t="shared" si="6"/>
        <v>0.7895375</v>
      </c>
      <c r="BJ47">
        <f t="shared" si="6"/>
        <v>0.79567500000000002</v>
      </c>
      <c r="BK47">
        <v>10</v>
      </c>
    </row>
    <row r="48" spans="1:63" x14ac:dyDescent="0.25">
      <c r="D48" s="2" t="s">
        <v>38</v>
      </c>
      <c r="E48" s="8" cm="1">
        <f t="array" ref="E48">MAX($C26:$C45*E26:E45)</f>
        <v>0</v>
      </c>
      <c r="F48" s="8" cm="1">
        <f t="array" ref="F48">MAX($C26:$C45*F26:F45)</f>
        <v>2.8853672801414952E-2</v>
      </c>
      <c r="G48" s="8" cm="1">
        <f t="array" ref="G48">MAX($C26:$C45*G26:G45)</f>
        <v>2.8853672801414952E-2</v>
      </c>
      <c r="H48" s="8" cm="1">
        <f t="array" ref="H48">MAX($C26:$C45*H26:H45)</f>
        <v>6.8798838442835963E-2</v>
      </c>
      <c r="I48" s="8" cm="1">
        <f t="array" ref="I48">MAX($C26:$C45*I26:I45)</f>
        <v>6.8798838442835963E-2</v>
      </c>
      <c r="J48" s="8" cm="1">
        <f t="array" ref="J48">MAX($C26:$C45*J26:J45)</f>
        <v>6.8798838442835963E-2</v>
      </c>
      <c r="K48" s="8" cm="1">
        <f t="array" ref="K48">MAX($C26:$C45*K26:K45)</f>
        <v>6.8798838442835963E-2</v>
      </c>
      <c r="L48" s="8" cm="1">
        <f t="array" ref="L48">MAX($C26:$C45*L26:L45)</f>
        <v>6.8798838442835963E-2</v>
      </c>
      <c r="M48" s="8" cm="1">
        <f t="array" ref="M48">MAX($C26:$C45*M26:M45)</f>
        <v>6.8798838442835963E-2</v>
      </c>
      <c r="N48" s="8" cm="1">
        <f t="array" ref="N48">MAX($C26:$C45*N26:N45)</f>
        <v>6.8798838442835963E-2</v>
      </c>
      <c r="O48" s="8" cm="1">
        <f t="array" ref="O48">MAX($C26:$C45*O26:O45)</f>
        <v>8.0264863196508704E-2</v>
      </c>
      <c r="P48" s="8" cm="1">
        <f t="array" ref="P48">MAX($C26:$C45*P26:P45)</f>
        <v>8.0264863196508704E-2</v>
      </c>
      <c r="Q48" s="8" cm="1">
        <f t="array" ref="Q48">MAX($C26:$C45*Q26:Q45)</f>
        <v>8.0264863196508704E-2</v>
      </c>
      <c r="R48" s="8" cm="1">
        <f t="array" ref="R48">MAX($C26:$C45*R26:R45)</f>
        <v>8.0264863196508704E-2</v>
      </c>
      <c r="S48" s="8" cm="1">
        <f t="array" ref="S48">MAX($C26:$C45*S26:S45)</f>
        <v>8.0264863196508704E-2</v>
      </c>
      <c r="T48" s="8" cm="1">
        <f t="array" ref="T48">MAX($C26:$C45*T26:T45)</f>
        <v>8.0264863196508704E-2</v>
      </c>
      <c r="U48" s="8" cm="1">
        <f t="array" ref="U48">MAX($C26:$C45*U26:U45)</f>
        <v>8.0264863196508704E-2</v>
      </c>
      <c r="V48" s="8" cm="1">
        <f t="array" ref="V48">MAX($C26:$C45*V26:V45)</f>
        <v>9.343218374052549E-2</v>
      </c>
      <c r="W48" s="8" cm="1">
        <f t="array" ref="W48">MAX($C26:$C45*W26:W45)</f>
        <v>9.343218374052549E-2</v>
      </c>
      <c r="X48" s="8" cm="1">
        <f t="array" ref="X48">MAX($C26:$C45*X26:X45)</f>
        <v>9.343218374052549E-2</v>
      </c>
      <c r="Y48" s="8" cm="1">
        <f t="array" ref="Y48">MAX($C26:$C45*Y26:Y45)</f>
        <v>9.343218374052549E-2</v>
      </c>
      <c r="Z48" s="8" cm="1">
        <f t="array" ref="Z48">MAX($C26:$C45*Z26:Z45)</f>
        <v>9.343218374052549E-2</v>
      </c>
      <c r="AA48" s="8" cm="1">
        <f t="array" ref="AA48">MAX($C26:$C45*AA26:AA45)</f>
        <v>9.343218374052549E-2</v>
      </c>
      <c r="AB48" s="8" cm="1">
        <f t="array" ref="AB48">MAX($C26:$C45*AB26:AB45)</f>
        <v>9.343218374052549E-2</v>
      </c>
      <c r="AC48" s="8" cm="1">
        <f t="array" ref="AC48">MAX($C26:$C45*AC26:AC45)</f>
        <v>9.343218374052549E-2</v>
      </c>
      <c r="AD48" s="8" cm="1">
        <f t="array" ref="AD48">MAX($C26:$C45*AD26:AD45)</f>
        <v>0.1068014356287144</v>
      </c>
      <c r="AE48" s="8" cm="1">
        <f t="array" ref="AE48">MAX($C26:$C45*AE26:AE45)</f>
        <v>0.1068014356287144</v>
      </c>
      <c r="AF48" s="8" cm="1">
        <f t="array" ref="AF48">MAX($C26:$C45*AF26:AF45)</f>
        <v>0.19101289482640837</v>
      </c>
      <c r="AG48" s="8" cm="1">
        <f t="array" ref="AG48">MAX($C26:$C45*AG26:AG45)</f>
        <v>0.21556914657857057</v>
      </c>
      <c r="AH48" s="8" cm="1">
        <f t="array" ref="AH48">MAX($C26:$C45*AH26:AH45)</f>
        <v>0.22409378007268332</v>
      </c>
      <c r="AI48" s="8" cm="1">
        <f t="array" ref="AI48">MAX($C26:$C45*AI26:AI45)</f>
        <v>0.22409378007268332</v>
      </c>
      <c r="AJ48" s="8" cm="1">
        <f t="array" ref="AJ48">MAX($C26:$C45*AJ26:AJ45)</f>
        <v>0.22409378007268332</v>
      </c>
      <c r="AK48" s="8" cm="1">
        <f t="array" ref="AK48">MAX($C26:$C45*AK26:AK45)</f>
        <v>0.23936535619615507</v>
      </c>
      <c r="AL48" s="8" cm="1">
        <f t="array" ref="AL48">MAX($C26:$C45*AL26:AL45)</f>
        <v>0.24284726642541216</v>
      </c>
      <c r="AM48" s="8" cm="1">
        <f t="array" ref="AM48">MAX($C26:$C45*AM26:AM45)</f>
        <v>0.26347404786216466</v>
      </c>
      <c r="AN48" s="8" cm="1">
        <f t="array" ref="AN48">MAX($C26:$C45*AN26:AN45)</f>
        <v>0.30333461847160587</v>
      </c>
      <c r="AO48" s="8" cm="1">
        <f t="array" ref="AO48">MAX($C26:$C45*AO26:AO45)</f>
        <v>0.30333461847160587</v>
      </c>
      <c r="AP48" s="8" cm="1">
        <f t="array" ref="AP48">MAX($C26:$C45*AP26:AP45)</f>
        <v>0.30333461847160587</v>
      </c>
      <c r="AQ48" s="8" cm="1">
        <f t="array" ref="AQ48">MAX($C26:$C45*AQ26:AQ45)</f>
        <v>0.32101911731292782</v>
      </c>
      <c r="AR48" s="8" cm="1">
        <f t="array" ref="AR48">MAX($C26:$C45*AR26:AR45)</f>
        <v>0.32101911731292782</v>
      </c>
      <c r="AS48" s="8" cm="1">
        <f t="array" ref="AS48">MAX($C26:$C45*AS26:AS45)</f>
        <v>0.32101911731292782</v>
      </c>
      <c r="AT48" s="8" cm="1">
        <f t="array" ref="AT48">MAX($C26:$C45*AT26:AT45)</f>
        <v>0.32101911731292782</v>
      </c>
      <c r="AU48" s="8" cm="1">
        <f t="array" ref="AU48">MAX($C26:$C45*AU26:AU45)</f>
        <v>0.3308533139869172</v>
      </c>
      <c r="AV48" s="8" cm="1">
        <f t="array" ref="AV48">MAX($C26:$C45*AV26:AV45)</f>
        <v>0.33451074967932076</v>
      </c>
      <c r="AW48" s="8" cm="1">
        <f t="array" ref="AW48">MAX($C26:$C45*AW26:AW45)</f>
        <v>0.33451074967932076</v>
      </c>
      <c r="AX48" s="8" cm="1">
        <f t="array" ref="AX48">MAX($C26:$C45*AX26:AX45)</f>
        <v>0.39099939513967302</v>
      </c>
      <c r="AY48" s="8" cm="1">
        <f t="array" ref="AY48">MAX($C26:$C45*AY26:AY45)</f>
        <v>0.39099939513967302</v>
      </c>
      <c r="AZ48" s="8" cm="1">
        <f t="array" ref="AZ48">MAX($C26:$C45*AZ26:AZ45)</f>
        <v>0.39099939513967302</v>
      </c>
      <c r="BA48" s="8" cm="1">
        <f t="array" ref="BA48">MAX($C26:$C45*BA26:BA45)</f>
        <v>0.39099939513967302</v>
      </c>
      <c r="BB48" s="8" cm="1">
        <f t="array" ref="BB48">MAX($C26:$C45*BB26:BB45)</f>
        <v>0.39099939513967302</v>
      </c>
      <c r="BC48" s="8" cm="1">
        <f t="array" ref="BC48">MAX($C26:$C45*BC26:BC45)</f>
        <v>0.39099939513967302</v>
      </c>
      <c r="BD48" s="8" cm="1">
        <f t="array" ref="BD48">MAX($C26:$C45*BD26:BD45)</f>
        <v>0.39099939513967302</v>
      </c>
      <c r="BE48" s="8" cm="1">
        <f t="array" ref="BE48">MAX($C26:$C45*BE26:BE45)</f>
        <v>0.39099939513967302</v>
      </c>
      <c r="BF48" s="8" cm="1">
        <f t="array" ref="BF48">MAX($C26:$C45*BF26:BF45)</f>
        <v>0.39099939513967302</v>
      </c>
      <c r="BG48" s="8" cm="1">
        <f t="array" ref="BG48">MAX($C26:$C45*BG26:BG45)</f>
        <v>0.39099939513967302</v>
      </c>
      <c r="BH48" s="8" cm="1">
        <f t="array" ref="BH48">MAX($C26:$C45*BH26:BH45)</f>
        <v>0.39099939513967302</v>
      </c>
      <c r="BI48" s="8" cm="1">
        <f t="array" ref="BI48">MAX($C26:$C45*BI26:BI45)</f>
        <v>0.39099939513967302</v>
      </c>
      <c r="BJ48" s="8" cm="1">
        <f t="array" ref="BJ48">MAX($C26:$C45*BJ26:BJ45)</f>
        <v>0.39255526571859967</v>
      </c>
      <c r="BK48">
        <v>10</v>
      </c>
    </row>
    <row r="49" spans="4:63" x14ac:dyDescent="0.25">
      <c r="D49" s="2" t="s">
        <v>32</v>
      </c>
      <c r="E49">
        <f>MAX($E25:$BJ25)/E25</f>
        <v>8.5777781566666658</v>
      </c>
      <c r="F49">
        <f t="shared" ref="F49:BJ49" si="7">MAX($E25:$BJ25)/F25</f>
        <v>4.1063830530783143</v>
      </c>
      <c r="G49">
        <f t="shared" si="7"/>
        <v>4.1063830530783143</v>
      </c>
      <c r="H49">
        <f t="shared" si="7"/>
        <v>4.1063830530783143</v>
      </c>
      <c r="I49">
        <f t="shared" si="7"/>
        <v>4.1063830530783143</v>
      </c>
      <c r="J49">
        <f t="shared" si="7"/>
        <v>4.0208334041341125</v>
      </c>
      <c r="K49">
        <f t="shared" si="7"/>
        <v>3.9793815124083309</v>
      </c>
      <c r="L49">
        <f t="shared" si="7"/>
        <v>2.6805555818142355</v>
      </c>
      <c r="M49">
        <f t="shared" si="7"/>
        <v>2.6805555818142355</v>
      </c>
      <c r="N49">
        <f t="shared" si="7"/>
        <v>2.6805555818142355</v>
      </c>
      <c r="O49">
        <f t="shared" si="7"/>
        <v>2.2840236857340424</v>
      </c>
      <c r="P49">
        <f t="shared" si="7"/>
        <v>2.2840236857340424</v>
      </c>
      <c r="Q49">
        <f t="shared" si="7"/>
        <v>2.2840236857340424</v>
      </c>
      <c r="R49">
        <f t="shared" si="7"/>
        <v>1.9896907331278562</v>
      </c>
      <c r="S49">
        <f t="shared" si="7"/>
        <v>1.9896907331278562</v>
      </c>
      <c r="T49">
        <f t="shared" si="7"/>
        <v>1.9896907331278562</v>
      </c>
      <c r="U49">
        <f t="shared" si="7"/>
        <v>1.9896907331278562</v>
      </c>
      <c r="V49">
        <f t="shared" si="7"/>
        <v>1.9896907331278562</v>
      </c>
      <c r="W49">
        <f t="shared" si="7"/>
        <v>1.9896907331278562</v>
      </c>
      <c r="X49">
        <f t="shared" si="7"/>
        <v>1.9896907331278562</v>
      </c>
      <c r="Y49">
        <f t="shared" si="7"/>
        <v>1.9896907331278562</v>
      </c>
      <c r="Z49">
        <f t="shared" si="7"/>
        <v>1.7788018513931065</v>
      </c>
      <c r="AA49">
        <f t="shared" si="7"/>
        <v>1.7788018513931065</v>
      </c>
      <c r="AB49">
        <f t="shared" si="7"/>
        <v>1.7788018513931065</v>
      </c>
      <c r="AC49">
        <f t="shared" si="7"/>
        <v>1.7545454622623964</v>
      </c>
      <c r="AD49">
        <f t="shared" si="7"/>
        <v>1.7545454622623964</v>
      </c>
      <c r="AE49">
        <f t="shared" si="7"/>
        <v>1.7545454622623964</v>
      </c>
      <c r="AF49">
        <f t="shared" si="7"/>
        <v>1.7545454622623964</v>
      </c>
      <c r="AG49">
        <f t="shared" si="7"/>
        <v>1.6495726558185402</v>
      </c>
      <c r="AH49">
        <f t="shared" si="7"/>
        <v>1.5884773717040086</v>
      </c>
      <c r="AI49">
        <f t="shared" si="7"/>
        <v>1.5884773717040086</v>
      </c>
      <c r="AJ49">
        <f t="shared" si="7"/>
        <v>1.5884773717040086</v>
      </c>
      <c r="AK49">
        <f t="shared" si="7"/>
        <v>1.434944241556225</v>
      </c>
      <c r="AL49">
        <f t="shared" si="7"/>
        <v>1.434944241556225</v>
      </c>
      <c r="AM49">
        <f t="shared" si="7"/>
        <v>1.434944241556225</v>
      </c>
      <c r="AN49">
        <f t="shared" si="7"/>
        <v>1.3129251724628626</v>
      </c>
      <c r="AO49">
        <f t="shared" si="7"/>
        <v>1.3129251724628626</v>
      </c>
      <c r="AP49">
        <f t="shared" si="7"/>
        <v>1.3129251724628626</v>
      </c>
      <c r="AQ49">
        <f t="shared" si="7"/>
        <v>1.2100313494437949</v>
      </c>
      <c r="AR49">
        <f t="shared" si="7"/>
        <v>1.2100313494437949</v>
      </c>
      <c r="AS49">
        <f t="shared" si="7"/>
        <v>1.2100313494437949</v>
      </c>
      <c r="AT49">
        <f t="shared" si="7"/>
        <v>1.2100313494437949</v>
      </c>
      <c r="AU49">
        <f t="shared" si="7"/>
        <v>1.1913580260202332</v>
      </c>
      <c r="AV49">
        <f t="shared" si="7"/>
        <v>1.1804281357980531</v>
      </c>
      <c r="AW49">
        <f t="shared" si="7"/>
        <v>1.1768292695056886</v>
      </c>
      <c r="AX49">
        <f t="shared" si="7"/>
        <v>1.1661631431234656</v>
      </c>
      <c r="AY49">
        <f t="shared" si="7"/>
        <v>1.1488095248060162</v>
      </c>
      <c r="AZ49">
        <f t="shared" si="7"/>
        <v>1.1188405804851922</v>
      </c>
      <c r="BA49">
        <f t="shared" si="7"/>
        <v>1.1188405804851922</v>
      </c>
      <c r="BB49">
        <f t="shared" si="7"/>
        <v>1.1188405804851922</v>
      </c>
      <c r="BC49">
        <f t="shared" si="7"/>
        <v>1.1188405804851922</v>
      </c>
      <c r="BD49">
        <f t="shared" si="7"/>
        <v>1.1188405804851922</v>
      </c>
      <c r="BE49">
        <f t="shared" si="7"/>
        <v>1.0965909097083226</v>
      </c>
      <c r="BF49">
        <f t="shared" si="7"/>
        <v>1.0722222226736111</v>
      </c>
      <c r="BG49">
        <f t="shared" si="7"/>
        <v>1.0489130437773218</v>
      </c>
      <c r="BH49">
        <f t="shared" si="7"/>
        <v>1.0157894737777009</v>
      </c>
      <c r="BI49">
        <f t="shared" si="7"/>
        <v>1.0025974026125823</v>
      </c>
      <c r="BJ49">
        <f t="shared" si="7"/>
        <v>1</v>
      </c>
      <c r="BK49">
        <v>1</v>
      </c>
    </row>
    <row r="50" spans="4:63" x14ac:dyDescent="0.25">
      <c r="D50" s="2" t="s">
        <v>55</v>
      </c>
      <c r="E50" s="8">
        <f>E25/MAX($E25:$BJ25)</f>
        <v>0.11658030573136215</v>
      </c>
      <c r="F50" s="8">
        <f t="shared" ref="F50:BJ50" si="8">F25/MAX($E25:$BJ25)</f>
        <v>0.243523311652662</v>
      </c>
      <c r="G50" s="8">
        <f t="shared" si="8"/>
        <v>0.243523311652662</v>
      </c>
      <c r="H50" s="8">
        <f t="shared" si="8"/>
        <v>0.243523311652662</v>
      </c>
      <c r="I50" s="8">
        <f t="shared" si="8"/>
        <v>0.243523311652662</v>
      </c>
      <c r="J50" s="8">
        <f t="shared" si="8"/>
        <v>0.24870465883312323</v>
      </c>
      <c r="K50" s="8">
        <f t="shared" si="8"/>
        <v>0.25129533242335383</v>
      </c>
      <c r="L50" s="8">
        <f t="shared" si="8"/>
        <v>0.37305699116419244</v>
      </c>
      <c r="M50" s="8">
        <f t="shared" si="8"/>
        <v>0.37305699116419244</v>
      </c>
      <c r="N50" s="8">
        <f t="shared" si="8"/>
        <v>0.37305699116419244</v>
      </c>
      <c r="O50" s="8">
        <f t="shared" si="8"/>
        <v>0.43782383091995769</v>
      </c>
      <c r="P50" s="8">
        <f t="shared" si="8"/>
        <v>0.43782383091995769</v>
      </c>
      <c r="Q50" s="8">
        <f t="shared" si="8"/>
        <v>0.43782383091995769</v>
      </c>
      <c r="R50" s="8">
        <f t="shared" si="8"/>
        <v>0.50259067067572294</v>
      </c>
      <c r="S50" s="8">
        <f t="shared" si="8"/>
        <v>0.50259067067572294</v>
      </c>
      <c r="T50" s="8">
        <f t="shared" si="8"/>
        <v>0.50259067067572294</v>
      </c>
      <c r="U50" s="8">
        <f t="shared" si="8"/>
        <v>0.50259067067572294</v>
      </c>
      <c r="V50" s="8">
        <f t="shared" si="8"/>
        <v>0.50259067067572294</v>
      </c>
      <c r="W50" s="8">
        <f t="shared" si="8"/>
        <v>0.50259067067572294</v>
      </c>
      <c r="X50" s="8">
        <f t="shared" si="8"/>
        <v>0.50259067067572294</v>
      </c>
      <c r="Y50" s="8">
        <f t="shared" si="8"/>
        <v>0.50259067067572294</v>
      </c>
      <c r="Z50" s="8">
        <f t="shared" si="8"/>
        <v>0.56217616325102693</v>
      </c>
      <c r="AA50" s="8">
        <f t="shared" si="8"/>
        <v>0.56217616325102693</v>
      </c>
      <c r="AB50" s="8">
        <f t="shared" si="8"/>
        <v>0.56217616325102693</v>
      </c>
      <c r="AC50" s="8">
        <f t="shared" si="8"/>
        <v>0.56994818402171887</v>
      </c>
      <c r="AD50" s="8">
        <f t="shared" si="8"/>
        <v>0.56994818402171887</v>
      </c>
      <c r="AE50" s="8">
        <f t="shared" si="8"/>
        <v>0.56994818402171887</v>
      </c>
      <c r="AF50" s="8">
        <f t="shared" si="8"/>
        <v>0.56994818402171887</v>
      </c>
      <c r="AG50" s="8">
        <f t="shared" si="8"/>
        <v>0.60621761428494736</v>
      </c>
      <c r="AH50" s="8">
        <f t="shared" si="8"/>
        <v>0.62953367659702275</v>
      </c>
      <c r="AI50" s="8">
        <f t="shared" si="8"/>
        <v>0.62953367659702275</v>
      </c>
      <c r="AJ50" s="8">
        <f t="shared" si="8"/>
        <v>0.62953367659702275</v>
      </c>
      <c r="AK50" s="8">
        <f t="shared" si="8"/>
        <v>0.69689118994301857</v>
      </c>
      <c r="AL50" s="8">
        <f t="shared" si="8"/>
        <v>0.69689118994301857</v>
      </c>
      <c r="AM50" s="8">
        <f t="shared" si="8"/>
        <v>0.69689118994301857</v>
      </c>
      <c r="AN50" s="8">
        <f t="shared" si="8"/>
        <v>0.76165802969878393</v>
      </c>
      <c r="AO50" s="8">
        <f t="shared" si="8"/>
        <v>0.76165802969878393</v>
      </c>
      <c r="AP50" s="8">
        <f t="shared" si="8"/>
        <v>0.76165802969878393</v>
      </c>
      <c r="AQ50" s="8">
        <f t="shared" si="8"/>
        <v>0.82642486945454907</v>
      </c>
      <c r="AR50" s="8">
        <f t="shared" si="8"/>
        <v>0.82642486945454907</v>
      </c>
      <c r="AS50" s="8">
        <f t="shared" si="8"/>
        <v>0.82642486945454907</v>
      </c>
      <c r="AT50" s="8">
        <f t="shared" si="8"/>
        <v>0.82642486945454907</v>
      </c>
      <c r="AU50" s="8">
        <f t="shared" si="8"/>
        <v>0.83937823740570217</v>
      </c>
      <c r="AV50" s="8">
        <f t="shared" si="8"/>
        <v>0.847150258176394</v>
      </c>
      <c r="AW50" s="8">
        <f t="shared" si="8"/>
        <v>0.84974093176662457</v>
      </c>
      <c r="AX50" s="8">
        <f t="shared" si="8"/>
        <v>0.85751295253731641</v>
      </c>
      <c r="AY50" s="8">
        <f t="shared" si="8"/>
        <v>0.8704663204884695</v>
      </c>
      <c r="AZ50" s="8">
        <f t="shared" si="8"/>
        <v>0.89378238280054489</v>
      </c>
      <c r="BA50" s="8">
        <f t="shared" si="8"/>
        <v>0.89378238280054489</v>
      </c>
      <c r="BB50" s="8">
        <f t="shared" si="8"/>
        <v>0.89378238280054489</v>
      </c>
      <c r="BC50" s="8">
        <f t="shared" si="8"/>
        <v>0.89378238280054489</v>
      </c>
      <c r="BD50" s="8">
        <f t="shared" si="8"/>
        <v>0.89378238280054489</v>
      </c>
      <c r="BE50" s="8">
        <f t="shared" si="8"/>
        <v>0.91191709793215914</v>
      </c>
      <c r="BF50" s="8">
        <f t="shared" si="8"/>
        <v>0.93264248665400407</v>
      </c>
      <c r="BG50" s="8">
        <f t="shared" si="8"/>
        <v>0.95336787537584899</v>
      </c>
      <c r="BH50" s="8">
        <f t="shared" si="8"/>
        <v>0.98445595845861633</v>
      </c>
      <c r="BI50" s="8">
        <f t="shared" si="8"/>
        <v>0.99740932640976931</v>
      </c>
      <c r="BJ50" s="8">
        <f t="shared" si="8"/>
        <v>1</v>
      </c>
    </row>
    <row r="51" spans="4:63" x14ac:dyDescent="0.25">
      <c r="D51" s="2"/>
    </row>
    <row r="52" spans="4:63" x14ac:dyDescent="0.25">
      <c r="D52" s="2"/>
    </row>
  </sheetData>
  <conditionalFormatting sqref="D11:U23 D3:D10"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:BC23 Y34:BC46 D3:D10"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4:X45 E26:BJ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BH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BJ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C533-1042-4D3D-ACA4-6EEA0C6E3F07}">
  <sheetPr codeName="Sheet3"/>
  <dimension ref="A1:BI51"/>
  <sheetViews>
    <sheetView zoomScaleNormal="100" workbookViewId="0"/>
  </sheetViews>
  <sheetFormatPr defaultRowHeight="15" x14ac:dyDescent="0.25"/>
  <sheetData>
    <row r="1" spans="1:60" x14ac:dyDescent="0.25">
      <c r="D1" s="2" t="s">
        <v>11</v>
      </c>
      <c r="E1">
        <v>0</v>
      </c>
      <c r="F1">
        <v>50</v>
      </c>
      <c r="G1">
        <v>51</v>
      </c>
      <c r="H1">
        <v>51</v>
      </c>
      <c r="I1">
        <v>91</v>
      </c>
      <c r="J1">
        <v>91</v>
      </c>
      <c r="K1">
        <v>93</v>
      </c>
      <c r="L1">
        <v>98</v>
      </c>
      <c r="M1">
        <v>100</v>
      </c>
      <c r="N1">
        <v>100</v>
      </c>
      <c r="O1">
        <v>101</v>
      </c>
      <c r="P1">
        <v>127</v>
      </c>
      <c r="Q1">
        <v>135</v>
      </c>
      <c r="R1">
        <v>136</v>
      </c>
      <c r="S1">
        <v>136</v>
      </c>
      <c r="T1">
        <v>137</v>
      </c>
      <c r="U1">
        <v>137</v>
      </c>
      <c r="V1">
        <v>145</v>
      </c>
      <c r="W1">
        <v>149</v>
      </c>
      <c r="X1">
        <v>149</v>
      </c>
      <c r="Y1">
        <v>176</v>
      </c>
      <c r="Z1">
        <v>176</v>
      </c>
      <c r="AA1">
        <v>177</v>
      </c>
      <c r="AB1">
        <v>183</v>
      </c>
      <c r="AC1">
        <v>184</v>
      </c>
      <c r="AD1">
        <v>184</v>
      </c>
      <c r="AE1">
        <v>186</v>
      </c>
      <c r="AF1">
        <v>201</v>
      </c>
      <c r="AG1">
        <v>202</v>
      </c>
      <c r="AH1">
        <v>203</v>
      </c>
      <c r="AI1">
        <v>217</v>
      </c>
      <c r="AJ1">
        <v>220</v>
      </c>
      <c r="AK1">
        <v>221</v>
      </c>
      <c r="AL1">
        <v>222</v>
      </c>
      <c r="AM1">
        <v>223</v>
      </c>
      <c r="AN1">
        <v>223</v>
      </c>
      <c r="AO1">
        <v>223</v>
      </c>
      <c r="AP1">
        <v>225</v>
      </c>
      <c r="AQ1">
        <v>225</v>
      </c>
      <c r="AR1">
        <v>226</v>
      </c>
      <c r="AS1">
        <v>226</v>
      </c>
      <c r="AT1">
        <v>227</v>
      </c>
      <c r="AU1">
        <v>238</v>
      </c>
      <c r="AV1">
        <v>238</v>
      </c>
      <c r="AW1">
        <v>238</v>
      </c>
      <c r="AX1">
        <v>240</v>
      </c>
      <c r="AY1">
        <v>245</v>
      </c>
      <c r="AZ1">
        <v>246</v>
      </c>
      <c r="BA1">
        <v>252</v>
      </c>
      <c r="BB1">
        <v>253</v>
      </c>
      <c r="BC1">
        <v>253</v>
      </c>
      <c r="BD1">
        <v>255</v>
      </c>
      <c r="BE1">
        <v>258</v>
      </c>
      <c r="BF1">
        <v>259</v>
      </c>
      <c r="BG1">
        <v>263</v>
      </c>
      <c r="BH1">
        <v>263</v>
      </c>
    </row>
    <row r="2" spans="1:60" x14ac:dyDescent="0.25">
      <c r="A2" s="2" t="s">
        <v>10</v>
      </c>
      <c r="B2" s="2" t="s">
        <v>2</v>
      </c>
      <c r="C2" s="2" t="s">
        <v>37</v>
      </c>
      <c r="D2" s="2" t="s">
        <v>33</v>
      </c>
      <c r="E2">
        <f t="shared" ref="E2:BH2" si="0">30+E1/2</f>
        <v>30</v>
      </c>
      <c r="F2">
        <f t="shared" si="0"/>
        <v>55</v>
      </c>
      <c r="G2">
        <f t="shared" si="0"/>
        <v>55.5</v>
      </c>
      <c r="H2">
        <f t="shared" si="0"/>
        <v>55.5</v>
      </c>
      <c r="I2">
        <f t="shared" si="0"/>
        <v>75.5</v>
      </c>
      <c r="J2">
        <f t="shared" si="0"/>
        <v>75.5</v>
      </c>
      <c r="K2">
        <f t="shared" si="0"/>
        <v>76.5</v>
      </c>
      <c r="L2">
        <f t="shared" si="0"/>
        <v>79</v>
      </c>
      <c r="M2">
        <f t="shared" si="0"/>
        <v>80</v>
      </c>
      <c r="N2">
        <f t="shared" si="0"/>
        <v>80</v>
      </c>
      <c r="O2">
        <f t="shared" si="0"/>
        <v>80.5</v>
      </c>
      <c r="P2">
        <f t="shared" si="0"/>
        <v>93.5</v>
      </c>
      <c r="Q2">
        <f t="shared" si="0"/>
        <v>97.5</v>
      </c>
      <c r="R2">
        <f t="shared" si="0"/>
        <v>98</v>
      </c>
      <c r="S2">
        <f t="shared" si="0"/>
        <v>98</v>
      </c>
      <c r="T2">
        <f t="shared" si="0"/>
        <v>98.5</v>
      </c>
      <c r="U2">
        <f t="shared" si="0"/>
        <v>98.5</v>
      </c>
      <c r="V2">
        <f t="shared" si="0"/>
        <v>102.5</v>
      </c>
      <c r="W2">
        <f t="shared" si="0"/>
        <v>104.5</v>
      </c>
      <c r="X2">
        <f t="shared" si="0"/>
        <v>104.5</v>
      </c>
      <c r="Y2">
        <f t="shared" si="0"/>
        <v>118</v>
      </c>
      <c r="Z2">
        <f t="shared" si="0"/>
        <v>118</v>
      </c>
      <c r="AA2">
        <f t="shared" si="0"/>
        <v>118.5</v>
      </c>
      <c r="AB2">
        <f t="shared" si="0"/>
        <v>121.5</v>
      </c>
      <c r="AC2">
        <f t="shared" si="0"/>
        <v>122</v>
      </c>
      <c r="AD2">
        <f t="shared" si="0"/>
        <v>122</v>
      </c>
      <c r="AE2">
        <f t="shared" si="0"/>
        <v>123</v>
      </c>
      <c r="AF2">
        <f t="shared" si="0"/>
        <v>130.5</v>
      </c>
      <c r="AG2">
        <f t="shared" si="0"/>
        <v>131</v>
      </c>
      <c r="AH2">
        <f t="shared" si="0"/>
        <v>131.5</v>
      </c>
      <c r="AI2">
        <f t="shared" si="0"/>
        <v>138.5</v>
      </c>
      <c r="AJ2">
        <f t="shared" si="0"/>
        <v>140</v>
      </c>
      <c r="AK2">
        <f t="shared" si="0"/>
        <v>140.5</v>
      </c>
      <c r="AL2">
        <f t="shared" si="0"/>
        <v>141</v>
      </c>
      <c r="AM2">
        <f t="shared" si="0"/>
        <v>141.5</v>
      </c>
      <c r="AN2">
        <f t="shared" si="0"/>
        <v>141.5</v>
      </c>
      <c r="AO2">
        <f t="shared" si="0"/>
        <v>141.5</v>
      </c>
      <c r="AP2">
        <f t="shared" si="0"/>
        <v>142.5</v>
      </c>
      <c r="AQ2">
        <f t="shared" si="0"/>
        <v>142.5</v>
      </c>
      <c r="AR2">
        <f t="shared" si="0"/>
        <v>143</v>
      </c>
      <c r="AS2">
        <f t="shared" si="0"/>
        <v>143</v>
      </c>
      <c r="AT2">
        <f t="shared" si="0"/>
        <v>143.5</v>
      </c>
      <c r="AU2">
        <f t="shared" si="0"/>
        <v>149</v>
      </c>
      <c r="AV2">
        <f t="shared" si="0"/>
        <v>149</v>
      </c>
      <c r="AW2">
        <f t="shared" si="0"/>
        <v>149</v>
      </c>
      <c r="AX2">
        <f t="shared" si="0"/>
        <v>150</v>
      </c>
      <c r="AY2">
        <f t="shared" si="0"/>
        <v>152.5</v>
      </c>
      <c r="AZ2">
        <f t="shared" si="0"/>
        <v>153</v>
      </c>
      <c r="BA2">
        <f t="shared" si="0"/>
        <v>156</v>
      </c>
      <c r="BB2">
        <f t="shared" si="0"/>
        <v>156.5</v>
      </c>
      <c r="BC2">
        <f t="shared" si="0"/>
        <v>156.5</v>
      </c>
      <c r="BD2">
        <f t="shared" si="0"/>
        <v>157.5</v>
      </c>
      <c r="BE2">
        <f t="shared" si="0"/>
        <v>159</v>
      </c>
      <c r="BF2">
        <f t="shared" si="0"/>
        <v>159.5</v>
      </c>
      <c r="BG2">
        <f t="shared" si="0"/>
        <v>161.5</v>
      </c>
      <c r="BH2">
        <f t="shared" si="0"/>
        <v>161.5</v>
      </c>
    </row>
    <row r="3" spans="1:60" x14ac:dyDescent="0.25">
      <c r="A3">
        <v>3.56632124352332</v>
      </c>
      <c r="B3">
        <f>1.158*A3</f>
        <v>4.1298000000000039</v>
      </c>
      <c r="C3">
        <f>1/A3</f>
        <v>0.28040098794130436</v>
      </c>
      <c r="E3">
        <v>0</v>
      </c>
      <c r="F3">
        <v>2.27154E-2</v>
      </c>
      <c r="G3">
        <v>0.16031219999999999</v>
      </c>
      <c r="H3">
        <v>-2.2030600000000001E-2</v>
      </c>
      <c r="I3">
        <v>-0.16310274999999999</v>
      </c>
      <c r="J3">
        <v>-0.14863750000000001</v>
      </c>
      <c r="K3">
        <v>-3.6965749999999999E-2</v>
      </c>
      <c r="L3">
        <v>-7.9090000000000601E-3</v>
      </c>
      <c r="M3">
        <v>4.7674999999998402E-4</v>
      </c>
      <c r="N3">
        <v>3.6313249999999999E-3</v>
      </c>
      <c r="O3">
        <v>-3.1974500000000003E-2</v>
      </c>
      <c r="P3">
        <v>0.18378050000000001</v>
      </c>
      <c r="Q3">
        <v>0.621313</v>
      </c>
      <c r="R3">
        <v>0.51293500000000003</v>
      </c>
      <c r="S3">
        <v>0.58364249999999995</v>
      </c>
      <c r="T3">
        <v>0.200325</v>
      </c>
      <c r="U3">
        <v>5.5719999999999797E-2</v>
      </c>
      <c r="V3">
        <v>6.61999999999985E-3</v>
      </c>
      <c r="W3">
        <v>0.13832249999999999</v>
      </c>
      <c r="X3">
        <v>0.23211499999999999</v>
      </c>
      <c r="Y3">
        <v>0.96480250000000001</v>
      </c>
      <c r="Z3">
        <v>0.99676500000000001</v>
      </c>
      <c r="AA3">
        <v>1.1189150000000001</v>
      </c>
      <c r="AB3">
        <v>1.3857575</v>
      </c>
      <c r="AC3">
        <v>1.2557475</v>
      </c>
      <c r="AD3">
        <v>1.3255509999999999</v>
      </c>
      <c r="AE3">
        <v>1.29816525</v>
      </c>
      <c r="AF3">
        <v>1.3842975</v>
      </c>
      <c r="AG3">
        <v>1.3406525</v>
      </c>
      <c r="AH3">
        <v>1.3846400000000001</v>
      </c>
      <c r="AI3">
        <v>1.3376625</v>
      </c>
      <c r="AJ3">
        <v>1.510575</v>
      </c>
      <c r="AK3">
        <v>1.5260499999999999</v>
      </c>
      <c r="AL3">
        <v>1.3789499999999999</v>
      </c>
      <c r="AM3">
        <v>1.5557449999999999</v>
      </c>
      <c r="AN3">
        <v>1.5669474999999999</v>
      </c>
      <c r="AO3">
        <v>1.5676924999999999</v>
      </c>
      <c r="AP3">
        <v>1.5623825</v>
      </c>
      <c r="AQ3">
        <v>1.5598974999999999</v>
      </c>
      <c r="AR3">
        <v>1.4574525</v>
      </c>
      <c r="AS3">
        <v>1.5301549999999999</v>
      </c>
      <c r="AT3">
        <v>1.5005375000000001</v>
      </c>
      <c r="AU3">
        <v>1.6095649999999999</v>
      </c>
      <c r="AV3">
        <v>1.6604725</v>
      </c>
      <c r="AW3">
        <v>1.6683375</v>
      </c>
      <c r="AX3">
        <v>1.6431925000000001</v>
      </c>
      <c r="AY3">
        <v>1.6856074999999999</v>
      </c>
      <c r="AZ3">
        <v>1.6784250000000001</v>
      </c>
      <c r="BA3">
        <v>1.7655700000000001</v>
      </c>
      <c r="BB3">
        <v>1.7737400000000001</v>
      </c>
      <c r="BC3">
        <v>1.7654700000000001</v>
      </c>
      <c r="BD3">
        <v>1.797925</v>
      </c>
      <c r="BE3">
        <v>1.8098650000000001</v>
      </c>
      <c r="BF3">
        <v>1.801725</v>
      </c>
      <c r="BG3">
        <v>1.621955</v>
      </c>
      <c r="BH3">
        <v>1.81375</v>
      </c>
    </row>
    <row r="4" spans="1:60" x14ac:dyDescent="0.25">
      <c r="A4">
        <v>3.4799654576856698</v>
      </c>
      <c r="B4">
        <f t="shared" ref="B4:B17" si="1">1.158*A4</f>
        <v>4.0298000000000052</v>
      </c>
      <c r="C4">
        <f t="shared" ref="C4:C17" si="2">1/A4</f>
        <v>0.28735917415256301</v>
      </c>
      <c r="E4">
        <v>0</v>
      </c>
      <c r="F4">
        <v>2.4859949999999999E-2</v>
      </c>
      <c r="G4">
        <v>0.14192502500000001</v>
      </c>
      <c r="H4">
        <v>-1.17529E-2</v>
      </c>
      <c r="I4">
        <v>-0.14242125</v>
      </c>
      <c r="J4">
        <v>-0.13255675</v>
      </c>
      <c r="K4">
        <v>-3.8323999999999997E-2</v>
      </c>
      <c r="L4">
        <v>-7.2574999999999697E-3</v>
      </c>
      <c r="M4">
        <v>-1.00574999999992E-4</v>
      </c>
      <c r="N4">
        <v>3.82125E-3</v>
      </c>
      <c r="O4">
        <v>-2.5484E-2</v>
      </c>
      <c r="P4">
        <v>0.16671825000000001</v>
      </c>
      <c r="Q4">
        <v>0.50819000000000003</v>
      </c>
      <c r="R4">
        <v>0.41468749999999999</v>
      </c>
      <c r="S4">
        <v>0.47397</v>
      </c>
      <c r="T4">
        <v>0.14410999999999999</v>
      </c>
      <c r="U4">
        <v>1.4892499999999999E-2</v>
      </c>
      <c r="V4">
        <v>9.0000000000001208E-3</v>
      </c>
      <c r="W4">
        <v>0.12445000000000001</v>
      </c>
      <c r="X4">
        <v>0.20413700000000001</v>
      </c>
      <c r="Y4">
        <v>0.86697749999999996</v>
      </c>
      <c r="Z4">
        <v>0.89531749999999999</v>
      </c>
      <c r="AA4">
        <v>0.99888500000000002</v>
      </c>
      <c r="AB4">
        <v>1.2563</v>
      </c>
      <c r="AC4">
        <v>1.1459524999999999</v>
      </c>
      <c r="AD4">
        <v>1.2020375000000001</v>
      </c>
      <c r="AE4">
        <v>1.1789175000000001</v>
      </c>
      <c r="AF4">
        <v>1.2622599999999999</v>
      </c>
      <c r="AG4">
        <v>1.2247349999999999</v>
      </c>
      <c r="AH4">
        <v>1.25749</v>
      </c>
      <c r="AI4">
        <v>1.216995</v>
      </c>
      <c r="AJ4">
        <v>1.3646624999999999</v>
      </c>
      <c r="AK4">
        <v>1.3817999999999999</v>
      </c>
      <c r="AL4">
        <v>1.2526925</v>
      </c>
      <c r="AM4">
        <v>1.4038925</v>
      </c>
      <c r="AN4">
        <v>1.4142349999999999</v>
      </c>
      <c r="AO4">
        <v>1.4158599999999999</v>
      </c>
      <c r="AP4">
        <v>1.4139550000000001</v>
      </c>
      <c r="AQ4">
        <v>1.4094575</v>
      </c>
      <c r="AR4">
        <v>1.3261000000000001</v>
      </c>
      <c r="AS4">
        <v>1.3867750000000001</v>
      </c>
      <c r="AT4">
        <v>1.3603175000000001</v>
      </c>
      <c r="AU4">
        <v>1.4520824999999999</v>
      </c>
      <c r="AV4">
        <v>1.4973924999999999</v>
      </c>
      <c r="AW4">
        <v>1.5008600000000001</v>
      </c>
      <c r="AX4">
        <v>1.47834</v>
      </c>
      <c r="AY4">
        <v>1.5151975</v>
      </c>
      <c r="AZ4">
        <v>1.5083949999999999</v>
      </c>
      <c r="BA4">
        <v>1.5881050000000001</v>
      </c>
      <c r="BB4">
        <v>1.593515</v>
      </c>
      <c r="BC4">
        <v>1.5874425000000001</v>
      </c>
      <c r="BD4">
        <v>1.6180650000000001</v>
      </c>
      <c r="BE4">
        <v>1.6255124999999999</v>
      </c>
      <c r="BF4">
        <v>1.6199475000000001</v>
      </c>
      <c r="BG4">
        <v>1.4578825</v>
      </c>
      <c r="BH4">
        <v>1.6304875000000001</v>
      </c>
    </row>
    <row r="5" spans="1:60" x14ac:dyDescent="0.25">
      <c r="A5">
        <v>3.3936096718480102</v>
      </c>
      <c r="B5">
        <f t="shared" si="1"/>
        <v>3.9297999999999957</v>
      </c>
      <c r="C5">
        <f t="shared" si="2"/>
        <v>0.29467148455392161</v>
      </c>
      <c r="E5">
        <v>0</v>
      </c>
      <c r="F5">
        <v>2.5106074999999999E-2</v>
      </c>
      <c r="G5">
        <v>0.13579648375</v>
      </c>
      <c r="H5">
        <v>-8.6450999999999993E-3</v>
      </c>
      <c r="I5">
        <v>-0.12916725000000001</v>
      </c>
      <c r="J5">
        <v>-0.117086</v>
      </c>
      <c r="K5">
        <v>-3.1472249999999903E-2</v>
      </c>
      <c r="L5">
        <v>-5.8882499999999803E-3</v>
      </c>
      <c r="M5">
        <v>8.6999999999999599E-4</v>
      </c>
      <c r="N5">
        <v>-2.1699499999999999E-3</v>
      </c>
      <c r="O5">
        <v>-2.2074750000000001E-2</v>
      </c>
      <c r="P5">
        <v>0.155393</v>
      </c>
      <c r="Q5">
        <v>0.43937749999999998</v>
      </c>
      <c r="R5">
        <v>0.35570000000000002</v>
      </c>
      <c r="S5">
        <v>0.41120499999999999</v>
      </c>
      <c r="T5">
        <v>0.13718250000000001</v>
      </c>
      <c r="U5">
        <v>1.8860000000000099E-2</v>
      </c>
      <c r="V5">
        <v>3.7149999999999102E-3</v>
      </c>
      <c r="W5">
        <v>0.11226</v>
      </c>
      <c r="X5">
        <v>0.18720800000000001</v>
      </c>
      <c r="Y5">
        <v>0.79603250000000003</v>
      </c>
      <c r="Z5">
        <v>0.82082750000000004</v>
      </c>
      <c r="AA5">
        <v>0.91652</v>
      </c>
      <c r="AB5">
        <v>1.1794849999999999</v>
      </c>
      <c r="AC5">
        <v>1.0822350000000001</v>
      </c>
      <c r="AD5">
        <v>1.1312475</v>
      </c>
      <c r="AE5">
        <v>1.1059000000000001</v>
      </c>
      <c r="AF5">
        <v>1.1909700000000001</v>
      </c>
      <c r="AG5">
        <v>1.1603775000000001</v>
      </c>
      <c r="AH5">
        <v>1.1846475000000001</v>
      </c>
      <c r="AI5">
        <v>1.1438299999999999</v>
      </c>
      <c r="AJ5">
        <v>1.2853300000000001</v>
      </c>
      <c r="AK5">
        <v>1.3019775</v>
      </c>
      <c r="AL5">
        <v>1.1866924999999999</v>
      </c>
      <c r="AM5">
        <v>1.3268074999999999</v>
      </c>
      <c r="AN5">
        <v>1.3314524999999999</v>
      </c>
      <c r="AO5">
        <v>1.3353075000000001</v>
      </c>
      <c r="AP5">
        <v>1.3314575</v>
      </c>
      <c r="AQ5">
        <v>1.3304199999999999</v>
      </c>
      <c r="AR5">
        <v>1.2590749999999999</v>
      </c>
      <c r="AS5">
        <v>1.3094325</v>
      </c>
      <c r="AT5">
        <v>1.2873049999999999</v>
      </c>
      <c r="AU5">
        <v>1.3796824999999999</v>
      </c>
      <c r="AV5">
        <v>1.41357</v>
      </c>
      <c r="AW5">
        <v>1.4217</v>
      </c>
      <c r="AX5">
        <v>1.3981825000000001</v>
      </c>
      <c r="AY5">
        <v>1.42953</v>
      </c>
      <c r="AZ5">
        <v>1.4266749999999999</v>
      </c>
      <c r="BA5">
        <v>1.5019899999999999</v>
      </c>
      <c r="BB5">
        <v>1.5085150000000001</v>
      </c>
      <c r="BC5">
        <v>1.501595</v>
      </c>
      <c r="BD5">
        <v>1.5274375</v>
      </c>
      <c r="BE5">
        <v>1.5377274999999999</v>
      </c>
      <c r="BF5">
        <v>1.5343825</v>
      </c>
      <c r="BG5">
        <v>1.3860125000000001</v>
      </c>
      <c r="BH5">
        <v>1.5397725</v>
      </c>
    </row>
    <row r="6" spans="1:60" x14ac:dyDescent="0.25">
      <c r="A6">
        <v>3.30725388601036</v>
      </c>
      <c r="B6">
        <f t="shared" si="1"/>
        <v>3.8297999999999965</v>
      </c>
      <c r="C6">
        <f t="shared" si="2"/>
        <v>0.30236565878113764</v>
      </c>
      <c r="E6">
        <v>0</v>
      </c>
      <c r="F6">
        <v>2.4103375E-2</v>
      </c>
      <c r="G6">
        <v>0.13046188249999999</v>
      </c>
      <c r="H6">
        <v>-4.1161499999999998E-3</v>
      </c>
      <c r="I6">
        <v>-0.11287075000000001</v>
      </c>
      <c r="J6">
        <v>-0.10252775</v>
      </c>
      <c r="K6">
        <v>-2.1183250000000001E-2</v>
      </c>
      <c r="L6">
        <v>-1.11925000000002E-3</v>
      </c>
      <c r="M6">
        <v>1.66282499999999E-3</v>
      </c>
      <c r="N6">
        <v>-2.5896000000000001E-3</v>
      </c>
      <c r="O6">
        <v>-1.49015E-2</v>
      </c>
      <c r="P6">
        <v>0.14867949999999999</v>
      </c>
      <c r="Q6">
        <v>0.40687499999999999</v>
      </c>
      <c r="R6">
        <v>0.33478249999999998</v>
      </c>
      <c r="S6">
        <v>0.38238250000000001</v>
      </c>
      <c r="T6">
        <v>0.13145999999999999</v>
      </c>
      <c r="U6">
        <v>1.9064999999999901E-2</v>
      </c>
      <c r="V6">
        <v>2.4950000000001399E-3</v>
      </c>
      <c r="W6">
        <v>0.10491499999999999</v>
      </c>
      <c r="X6">
        <v>0.17546775000000001</v>
      </c>
      <c r="Y6">
        <v>0.76403500000000002</v>
      </c>
      <c r="Z6">
        <v>0.78604499999999999</v>
      </c>
      <c r="AA6">
        <v>0.87217250000000002</v>
      </c>
      <c r="AB6">
        <v>1.3385175</v>
      </c>
      <c r="AC6">
        <v>1.2561225</v>
      </c>
      <c r="AD6">
        <v>1.3031375000000001</v>
      </c>
      <c r="AE6">
        <v>1.2583124999999999</v>
      </c>
      <c r="AF6">
        <v>1.4052724999999999</v>
      </c>
      <c r="AG6">
        <v>1.3786175000000001</v>
      </c>
      <c r="AH6">
        <v>1.40358</v>
      </c>
      <c r="AI6">
        <v>1.3819699999999999</v>
      </c>
      <c r="AJ6">
        <v>1.5293775000000001</v>
      </c>
      <c r="AK6">
        <v>1.543995</v>
      </c>
      <c r="AL6">
        <v>1.442075</v>
      </c>
      <c r="AM6">
        <v>1.5821974999999999</v>
      </c>
      <c r="AN6">
        <v>1.5880725</v>
      </c>
      <c r="AO6">
        <v>1.594665</v>
      </c>
      <c r="AP6">
        <v>1.57829</v>
      </c>
      <c r="AQ6">
        <v>1.581515</v>
      </c>
      <c r="AR6">
        <v>1.5249999999999999</v>
      </c>
      <c r="AS6">
        <v>1.5648774999999999</v>
      </c>
      <c r="AT6">
        <v>1.5493300000000001</v>
      </c>
      <c r="AU6">
        <v>1.66781</v>
      </c>
      <c r="AV6">
        <v>1.6937150000000001</v>
      </c>
      <c r="AW6">
        <v>1.6987825000000001</v>
      </c>
      <c r="AX6">
        <v>1.6686300000000001</v>
      </c>
      <c r="AY6">
        <v>1.7084925</v>
      </c>
      <c r="AZ6">
        <v>1.7063999999999999</v>
      </c>
      <c r="BA6">
        <v>1.7798274999999999</v>
      </c>
      <c r="BB6">
        <v>1.787785</v>
      </c>
      <c r="BC6">
        <v>1.7778875000000001</v>
      </c>
      <c r="BD6">
        <v>1.79857</v>
      </c>
      <c r="BE6">
        <v>1.8086800000000001</v>
      </c>
      <c r="BF6">
        <v>1.80711</v>
      </c>
      <c r="BG6">
        <v>1.672355</v>
      </c>
      <c r="BH6">
        <v>1.8078675</v>
      </c>
    </row>
    <row r="7" spans="1:60" x14ac:dyDescent="0.25">
      <c r="A7">
        <v>3.2208981001727102</v>
      </c>
      <c r="B7">
        <f t="shared" si="1"/>
        <v>3.7297999999999982</v>
      </c>
      <c r="C7">
        <f t="shared" si="2"/>
        <v>0.31047241138935078</v>
      </c>
      <c r="E7">
        <v>0</v>
      </c>
      <c r="F7">
        <v>2.55173E-2</v>
      </c>
      <c r="G7">
        <v>0.13230312499999999</v>
      </c>
      <c r="H7">
        <v>5.65400000000008E-4</v>
      </c>
      <c r="I7">
        <v>-9.1790999999999998E-2</v>
      </c>
      <c r="J7">
        <v>-8.6054249999999902E-2</v>
      </c>
      <c r="K7">
        <v>-8.5074999999999994E-3</v>
      </c>
      <c r="L7">
        <v>3.4567500000000102E-3</v>
      </c>
      <c r="M7">
        <v>3.7914999999999499E-4</v>
      </c>
      <c r="N7">
        <v>-2.01220000000001E-3</v>
      </c>
      <c r="O7">
        <v>-1.4071E-2</v>
      </c>
      <c r="P7">
        <v>0.14815300000000001</v>
      </c>
      <c r="Q7">
        <v>0.39542500000000003</v>
      </c>
      <c r="R7">
        <v>0.33309</v>
      </c>
      <c r="S7">
        <v>0.37555749999999999</v>
      </c>
      <c r="T7">
        <v>0.13038250000000001</v>
      </c>
      <c r="U7">
        <v>2.1042500000000099E-2</v>
      </c>
      <c r="V7">
        <v>3.0775000000000702E-3</v>
      </c>
      <c r="W7">
        <v>0.10224999999999999</v>
      </c>
      <c r="X7">
        <v>0.1695275</v>
      </c>
      <c r="Y7">
        <v>0.74409749999999997</v>
      </c>
      <c r="Z7">
        <v>0.76588999999999996</v>
      </c>
      <c r="AA7">
        <v>0.84789250000000005</v>
      </c>
      <c r="AB7">
        <v>1.4183874999999999</v>
      </c>
      <c r="AC7">
        <v>1.346125</v>
      </c>
      <c r="AD7">
        <v>1.3921174999999999</v>
      </c>
      <c r="AE7">
        <v>1.3252975</v>
      </c>
      <c r="AF7">
        <v>1.5229200000000001</v>
      </c>
      <c r="AG7">
        <v>1.4956875000000001</v>
      </c>
      <c r="AH7">
        <v>1.5185225</v>
      </c>
      <c r="AI7">
        <v>1.4968824999999999</v>
      </c>
      <c r="AJ7">
        <v>1.6448525000000001</v>
      </c>
      <c r="AK7">
        <v>1.65821</v>
      </c>
      <c r="AL7">
        <v>1.5652225</v>
      </c>
      <c r="AM7">
        <v>1.6968325</v>
      </c>
      <c r="AN7">
        <v>1.6964349999999999</v>
      </c>
      <c r="AO7">
        <v>1.7041200000000001</v>
      </c>
      <c r="AP7">
        <v>1.6908274999999999</v>
      </c>
      <c r="AQ7">
        <v>1.6913925000000001</v>
      </c>
      <c r="AR7">
        <v>1.6525274999999999</v>
      </c>
      <c r="AS7">
        <v>1.6792525</v>
      </c>
      <c r="AT7">
        <v>1.6708875000000001</v>
      </c>
      <c r="AU7">
        <v>1.7914300000000001</v>
      </c>
      <c r="AV7">
        <v>1.8077375</v>
      </c>
      <c r="AW7">
        <v>1.8108925</v>
      </c>
      <c r="AX7">
        <v>1.7862275000000001</v>
      </c>
      <c r="AY7">
        <v>1.8231299999999999</v>
      </c>
      <c r="AZ7">
        <v>1.8228899999999999</v>
      </c>
      <c r="BA7">
        <v>1.8884775</v>
      </c>
      <c r="BB7">
        <v>1.8985924999999999</v>
      </c>
      <c r="BC7">
        <v>1.8891325000000001</v>
      </c>
      <c r="BD7">
        <v>1.90635</v>
      </c>
      <c r="BE7">
        <v>1.9143675</v>
      </c>
      <c r="BF7">
        <v>1.9170925000000001</v>
      </c>
      <c r="BG7">
        <v>1.78932</v>
      </c>
      <c r="BH7">
        <v>1.9160649999999999</v>
      </c>
    </row>
    <row r="8" spans="1:60" x14ac:dyDescent="0.25">
      <c r="A8">
        <v>3.1345423143350599</v>
      </c>
      <c r="B8">
        <f t="shared" si="1"/>
        <v>3.629799999999999</v>
      </c>
      <c r="C8">
        <f t="shared" si="2"/>
        <v>0.31902584164416775</v>
      </c>
      <c r="E8">
        <v>0</v>
      </c>
      <c r="F8">
        <v>2.10364E-2</v>
      </c>
      <c r="G8">
        <v>0.13178857499999999</v>
      </c>
      <c r="H8">
        <v>8.80185E-3</v>
      </c>
      <c r="I8">
        <v>-7.1451500000000001E-2</v>
      </c>
      <c r="J8">
        <v>-7.0825750000000007E-2</v>
      </c>
      <c r="K8">
        <v>7.3024999999993202E-4</v>
      </c>
      <c r="L8">
        <v>1.12882500000001E-2</v>
      </c>
      <c r="M8">
        <v>-2.2362500000000499E-4</v>
      </c>
      <c r="N8">
        <v>2.7859999999999998E-3</v>
      </c>
      <c r="O8">
        <v>-7.2355000000000102E-3</v>
      </c>
      <c r="P8">
        <v>0.148563</v>
      </c>
      <c r="Q8">
        <v>0.26524500000000001</v>
      </c>
      <c r="R8">
        <v>0.21487999999999999</v>
      </c>
      <c r="S8">
        <v>0.25005749999999999</v>
      </c>
      <c r="T8">
        <v>0.13300999999999999</v>
      </c>
      <c r="U8">
        <v>2.5157500000000201E-2</v>
      </c>
      <c r="V8">
        <v>4.6224999999999704E-3</v>
      </c>
      <c r="W8">
        <v>0.10334</v>
      </c>
      <c r="X8">
        <v>0.17179</v>
      </c>
      <c r="Y8">
        <v>0.4881625</v>
      </c>
      <c r="Z8">
        <v>0.50990666666666695</v>
      </c>
      <c r="AA8">
        <v>0.58625416666666597</v>
      </c>
      <c r="AB8">
        <v>1.128355</v>
      </c>
      <c r="AC8">
        <v>1.0617974999999999</v>
      </c>
      <c r="AD8">
        <v>1.0993966666666699</v>
      </c>
      <c r="AE8">
        <v>1.0317974999999999</v>
      </c>
      <c r="AF8">
        <v>1.2522933333333299</v>
      </c>
      <c r="AG8">
        <v>1.2320566666666699</v>
      </c>
      <c r="AH8">
        <v>1.25001583333333</v>
      </c>
      <c r="AI8">
        <v>1.2413783333333299</v>
      </c>
      <c r="AJ8">
        <v>1.39204166666667</v>
      </c>
      <c r="AK8">
        <v>1.404175</v>
      </c>
      <c r="AL8">
        <v>1.3202516666666699</v>
      </c>
      <c r="AM8">
        <v>1.4407316666666701</v>
      </c>
      <c r="AN8">
        <v>1.4345625</v>
      </c>
      <c r="AO8">
        <v>1.4475991666666701</v>
      </c>
      <c r="AP8">
        <v>1.42938416666667</v>
      </c>
      <c r="AQ8">
        <v>1.427135</v>
      </c>
      <c r="AR8">
        <v>1.4061383333333299</v>
      </c>
      <c r="AS8">
        <v>1.4264416666666699</v>
      </c>
      <c r="AT8">
        <v>1.4228775</v>
      </c>
      <c r="AU8">
        <v>1.5243608333333301</v>
      </c>
      <c r="AV8">
        <v>1.5344441666666699</v>
      </c>
      <c r="AW8">
        <v>1.5356983333333301</v>
      </c>
      <c r="AX8">
        <v>1.51132333333333</v>
      </c>
      <c r="AY8">
        <v>1.5452075000000001</v>
      </c>
      <c r="AZ8">
        <v>1.54715333333333</v>
      </c>
      <c r="BA8">
        <v>1.59987833333333</v>
      </c>
      <c r="BB8">
        <v>1.6092725000000001</v>
      </c>
      <c r="BC8">
        <v>1.5993725000000001</v>
      </c>
      <c r="BD8">
        <v>1.62220083333333</v>
      </c>
      <c r="BE8">
        <v>1.6302591666666699</v>
      </c>
      <c r="BF8">
        <v>1.6414025000000001</v>
      </c>
      <c r="BG8">
        <v>1.5252300000000001</v>
      </c>
      <c r="BH8">
        <v>1.6106958333333301</v>
      </c>
    </row>
    <row r="9" spans="1:60" x14ac:dyDescent="0.25">
      <c r="A9">
        <v>3.0481865284974101</v>
      </c>
      <c r="B9">
        <f t="shared" si="1"/>
        <v>3.5298000000000007</v>
      </c>
      <c r="C9">
        <f t="shared" si="2"/>
        <v>0.32806391296957327</v>
      </c>
      <c r="E9">
        <v>0</v>
      </c>
      <c r="F9">
        <v>2.4763050000000002E-2</v>
      </c>
      <c r="G9">
        <v>0.136351</v>
      </c>
      <c r="H9">
        <v>1.5982150000000001E-2</v>
      </c>
      <c r="I9">
        <v>-5.1955250000000001E-2</v>
      </c>
      <c r="J9">
        <v>-5.33580000000001E-2</v>
      </c>
      <c r="K9">
        <v>1.816775E-2</v>
      </c>
      <c r="L9">
        <v>2.2312749999999999E-2</v>
      </c>
      <c r="M9">
        <v>5.4190249999999896E-3</v>
      </c>
      <c r="N9">
        <v>9.8364249999999993E-3</v>
      </c>
      <c r="O9">
        <v>9.9849999999998594E-4</v>
      </c>
      <c r="P9">
        <v>0.15545975000000001</v>
      </c>
      <c r="Q9">
        <v>8.4915000000000102E-2</v>
      </c>
      <c r="R9">
        <v>5.67125000000002E-2</v>
      </c>
      <c r="S9">
        <v>8.0464999999999995E-2</v>
      </c>
      <c r="T9">
        <v>0.14324500000000001</v>
      </c>
      <c r="U9">
        <v>3.7019999999999803E-2</v>
      </c>
      <c r="V9">
        <v>1.0975E-2</v>
      </c>
      <c r="W9">
        <v>0.1070575</v>
      </c>
      <c r="X9">
        <v>0.17622499999999999</v>
      </c>
      <c r="Y9">
        <v>0.32374999999999998</v>
      </c>
      <c r="Z9">
        <v>0.34668000000000099</v>
      </c>
      <c r="AA9">
        <v>0.41790250000000001</v>
      </c>
      <c r="AB9">
        <v>0.95321250000000002</v>
      </c>
      <c r="AC9">
        <v>0.88578500000000004</v>
      </c>
      <c r="AD9">
        <v>0.92484999999999995</v>
      </c>
      <c r="AE9">
        <v>0.84880750000000005</v>
      </c>
      <c r="AF9">
        <v>1.2012350000000001</v>
      </c>
      <c r="AG9">
        <v>1.18245</v>
      </c>
      <c r="AH9">
        <v>1.1994374999999999</v>
      </c>
      <c r="AI9">
        <v>1.2454225000000001</v>
      </c>
      <c r="AJ9">
        <v>1.4198249999999999</v>
      </c>
      <c r="AK9">
        <v>1.4299075000000001</v>
      </c>
      <c r="AL9">
        <v>1.3513424999999999</v>
      </c>
      <c r="AM9">
        <v>1.472955</v>
      </c>
      <c r="AN9">
        <v>1.4624025</v>
      </c>
      <c r="AO9">
        <v>1.4743225</v>
      </c>
      <c r="AP9">
        <v>1.4546325</v>
      </c>
      <c r="AQ9">
        <v>1.45573</v>
      </c>
      <c r="AR9">
        <v>1.4502600000000001</v>
      </c>
      <c r="AS9">
        <v>1.4565425000000001</v>
      </c>
      <c r="AT9">
        <v>1.4564025</v>
      </c>
      <c r="AU9">
        <v>1.57047</v>
      </c>
      <c r="AV9">
        <v>1.5708575</v>
      </c>
      <c r="AW9">
        <v>1.5723374999999999</v>
      </c>
      <c r="AX9">
        <v>1.5447850000000001</v>
      </c>
      <c r="AY9">
        <v>1.57622</v>
      </c>
      <c r="AZ9">
        <v>1.5833675</v>
      </c>
      <c r="BA9">
        <v>1.6419649999999999</v>
      </c>
      <c r="BB9">
        <v>1.6488449999999999</v>
      </c>
      <c r="BC9">
        <v>1.6420025</v>
      </c>
      <c r="BD9">
        <v>1.6828025</v>
      </c>
      <c r="BE9">
        <v>1.7002675</v>
      </c>
      <c r="BF9">
        <v>1.7157275000000001</v>
      </c>
      <c r="BG9">
        <v>1.6108324999999999</v>
      </c>
      <c r="BH9">
        <v>1.6464749999999999</v>
      </c>
    </row>
    <row r="10" spans="1:60" x14ac:dyDescent="0.25">
      <c r="A10">
        <v>2.9618307426597599</v>
      </c>
      <c r="B10">
        <f t="shared" si="1"/>
        <v>3.4298000000000015</v>
      </c>
      <c r="C10">
        <f t="shared" si="2"/>
        <v>0.33762901626917002</v>
      </c>
      <c r="E10">
        <v>0</v>
      </c>
      <c r="F10">
        <v>2.3636575E-2</v>
      </c>
      <c r="G10">
        <v>0.13995727499999999</v>
      </c>
      <c r="H10">
        <v>2.0183449999999999E-2</v>
      </c>
      <c r="I10">
        <v>-3.3945250000000003E-2</v>
      </c>
      <c r="J10">
        <v>-4.1248750000000098E-2</v>
      </c>
      <c r="K10">
        <v>3.3487500000000003E-2</v>
      </c>
      <c r="L10">
        <v>3.1587499999999998E-2</v>
      </c>
      <c r="M10">
        <v>5.4207250000000203E-3</v>
      </c>
      <c r="N10">
        <v>7.5000750000000097E-3</v>
      </c>
      <c r="O10">
        <v>6.4924999999999601E-3</v>
      </c>
      <c r="P10">
        <v>0.16271725000000001</v>
      </c>
      <c r="Q10">
        <v>7.1212500000000095E-2</v>
      </c>
      <c r="R10">
        <v>5.0679999999999802E-2</v>
      </c>
      <c r="S10">
        <v>6.7322500000000202E-2</v>
      </c>
      <c r="T10">
        <v>0.15011250000000001</v>
      </c>
      <c r="U10">
        <v>4.4394999999999997E-2</v>
      </c>
      <c r="V10">
        <v>1.1262500000000199E-2</v>
      </c>
      <c r="W10">
        <v>0.10639</v>
      </c>
      <c r="X10">
        <v>0.17552499999999999</v>
      </c>
      <c r="Y10">
        <v>0.31068000000000001</v>
      </c>
      <c r="Z10">
        <v>0.33374999999999999</v>
      </c>
      <c r="AA10">
        <v>0.39585500000000001</v>
      </c>
      <c r="AB10">
        <v>0.93964749999999997</v>
      </c>
      <c r="AC10">
        <v>0.8778975</v>
      </c>
      <c r="AD10">
        <v>0.91025500000000004</v>
      </c>
      <c r="AE10">
        <v>0.82923250000000004</v>
      </c>
      <c r="AF10">
        <v>1.1805275</v>
      </c>
      <c r="AG10">
        <v>1.1661874999999999</v>
      </c>
      <c r="AH10">
        <v>1.17645</v>
      </c>
      <c r="AI10">
        <v>1.24539</v>
      </c>
      <c r="AJ10">
        <v>1.4414825</v>
      </c>
      <c r="AK10">
        <v>1.4466650000000001</v>
      </c>
      <c r="AL10">
        <v>1.3752599999999999</v>
      </c>
      <c r="AM10">
        <v>1.5062599999999999</v>
      </c>
      <c r="AN10">
        <v>1.4947699999999999</v>
      </c>
      <c r="AO10">
        <v>1.5032825000000001</v>
      </c>
      <c r="AP10">
        <v>1.4739899999999999</v>
      </c>
      <c r="AQ10">
        <v>1.4799275000000001</v>
      </c>
      <c r="AR10">
        <v>1.4901925</v>
      </c>
      <c r="AS10">
        <v>1.4909524999999999</v>
      </c>
      <c r="AT10">
        <v>1.49485</v>
      </c>
      <c r="AU10">
        <v>1.6174325000000001</v>
      </c>
      <c r="AV10">
        <v>1.6109024999999999</v>
      </c>
      <c r="AW10">
        <v>1.611065</v>
      </c>
      <c r="AX10">
        <v>1.5834699999999999</v>
      </c>
      <c r="AY10">
        <v>1.6119375</v>
      </c>
      <c r="AZ10">
        <v>1.6218475000000001</v>
      </c>
      <c r="BA10">
        <v>1.6269733333333301</v>
      </c>
      <c r="BB10">
        <v>1.63190416666667</v>
      </c>
      <c r="BC10">
        <v>1.6253933333333299</v>
      </c>
      <c r="BD10">
        <v>1.66537166666667</v>
      </c>
      <c r="BE10">
        <v>1.68587666666667</v>
      </c>
      <c r="BF10">
        <v>1.6996233333333299</v>
      </c>
      <c r="BG10">
        <v>1.60024083333333</v>
      </c>
      <c r="BH10">
        <v>1.65514583333333</v>
      </c>
    </row>
    <row r="11" spans="1:60" x14ac:dyDescent="0.25">
      <c r="A11">
        <v>2.8754749568221101</v>
      </c>
      <c r="B11">
        <f t="shared" si="1"/>
        <v>3.3298000000000032</v>
      </c>
      <c r="C11">
        <f t="shared" si="2"/>
        <v>0.34776863475283765</v>
      </c>
      <c r="E11">
        <v>0</v>
      </c>
      <c r="F11">
        <v>2.1477125E-2</v>
      </c>
      <c r="G11">
        <v>0.13576740000000001</v>
      </c>
      <c r="H11">
        <v>2.3406224999999999E-2</v>
      </c>
      <c r="I11">
        <v>-1.22359999999999E-2</v>
      </c>
      <c r="J11">
        <v>-2.5215000000000001E-2</v>
      </c>
      <c r="K11">
        <v>4.663175E-2</v>
      </c>
      <c r="L11">
        <v>3.9462249999999997E-2</v>
      </c>
      <c r="M11">
        <v>9.2098750000000097E-3</v>
      </c>
      <c r="N11">
        <v>1.1647375E-2</v>
      </c>
      <c r="O11">
        <v>1.3998E-2</v>
      </c>
      <c r="P11">
        <v>0.16480624999999999</v>
      </c>
      <c r="Q11">
        <v>6.4320000000000196E-2</v>
      </c>
      <c r="R11">
        <v>6.1417500000000097E-2</v>
      </c>
      <c r="S11">
        <v>7.2692500000000104E-2</v>
      </c>
      <c r="T11">
        <v>0.15452250000000001</v>
      </c>
      <c r="U11">
        <v>5.0660000000000198E-2</v>
      </c>
      <c r="V11">
        <v>1.1077500000000099E-2</v>
      </c>
      <c r="W11">
        <v>0.10662000000000001</v>
      </c>
      <c r="X11">
        <v>0.17356750000000001</v>
      </c>
      <c r="Y11">
        <v>0.10062749999999999</v>
      </c>
      <c r="Z11">
        <v>0.12039</v>
      </c>
      <c r="AA11">
        <v>0.17646249999999999</v>
      </c>
      <c r="AB11">
        <v>0.70078499999999999</v>
      </c>
      <c r="AC11">
        <v>0.646809999999999</v>
      </c>
      <c r="AD11">
        <v>0.67071499999999995</v>
      </c>
      <c r="AE11">
        <v>0.58982250000000003</v>
      </c>
      <c r="AF11">
        <v>0.95174999999999998</v>
      </c>
      <c r="AG11">
        <v>0.942769999999999</v>
      </c>
      <c r="AH11">
        <v>0.95215249999999996</v>
      </c>
      <c r="AI11">
        <v>1.1009724999999999</v>
      </c>
      <c r="AJ11">
        <v>1.3194408333333301</v>
      </c>
      <c r="AK11">
        <v>1.32840333333333</v>
      </c>
      <c r="AL11">
        <v>1.26461</v>
      </c>
      <c r="AM11">
        <v>1.4081908333333299</v>
      </c>
      <c r="AN11">
        <v>1.3984033333333299</v>
      </c>
      <c r="AO11">
        <v>1.4087825</v>
      </c>
      <c r="AP11">
        <v>1.359615</v>
      </c>
      <c r="AQ11">
        <v>1.3716283333333299</v>
      </c>
      <c r="AR11">
        <v>1.4029658333333299</v>
      </c>
      <c r="AS11">
        <v>1.393135</v>
      </c>
      <c r="AT11">
        <v>1.40059166666667</v>
      </c>
      <c r="AU11">
        <v>1.5362074999999999</v>
      </c>
      <c r="AV11">
        <v>1.5235291666666699</v>
      </c>
      <c r="AW11">
        <v>1.5210075000000001</v>
      </c>
      <c r="AX11">
        <v>1.4870783333333299</v>
      </c>
      <c r="AY11">
        <v>1.51621583333333</v>
      </c>
      <c r="AZ11">
        <v>1.5321549999999999</v>
      </c>
      <c r="BA11">
        <v>1.59687</v>
      </c>
      <c r="BB11">
        <v>1.59842333333333</v>
      </c>
      <c r="BC11">
        <v>1.5941466666666699</v>
      </c>
      <c r="BD11">
        <v>1.6421666666666701</v>
      </c>
      <c r="BE11">
        <v>1.67272333333333</v>
      </c>
      <c r="BF11">
        <v>1.69400666666667</v>
      </c>
      <c r="BG11">
        <v>1.6313166666666701</v>
      </c>
      <c r="BH11">
        <v>1.8312933333333301</v>
      </c>
    </row>
    <row r="12" spans="1:60" x14ac:dyDescent="0.25">
      <c r="A12">
        <v>2.7891191709844598</v>
      </c>
      <c r="B12">
        <f t="shared" si="1"/>
        <v>3.2298000000000044</v>
      </c>
      <c r="C12">
        <f t="shared" si="2"/>
        <v>0.35853613226825143</v>
      </c>
      <c r="E12">
        <v>0</v>
      </c>
      <c r="F12">
        <v>1.6847424999999999E-2</v>
      </c>
      <c r="G12">
        <v>0.12990252499999999</v>
      </c>
      <c r="H12">
        <v>1.7910075000000001E-2</v>
      </c>
      <c r="I12">
        <v>-5.1547499999999901E-3</v>
      </c>
      <c r="J12">
        <v>-1.8284749999999999E-2</v>
      </c>
      <c r="K12">
        <v>5.4033749999999998E-2</v>
      </c>
      <c r="L12">
        <v>4.3336E-2</v>
      </c>
      <c r="M12">
        <v>3.5462750000000202E-3</v>
      </c>
      <c r="N12">
        <v>7.2278750000000103E-3</v>
      </c>
      <c r="O12">
        <v>9.5747500000000207E-3</v>
      </c>
      <c r="P12">
        <v>0.16318299999999999</v>
      </c>
      <c r="Q12">
        <v>4.8707499999999897E-2</v>
      </c>
      <c r="R12">
        <v>6.5112500000000101E-2</v>
      </c>
      <c r="S12">
        <v>6.4659999999999898E-2</v>
      </c>
      <c r="T12">
        <v>0.15310000000000001</v>
      </c>
      <c r="U12">
        <v>4.9934999999999799E-2</v>
      </c>
      <c r="V12">
        <v>2.7500000000000302E-3</v>
      </c>
      <c r="W12">
        <v>0.10097250000000001</v>
      </c>
      <c r="X12">
        <v>0.17027500000000001</v>
      </c>
      <c r="Y12">
        <v>-2.1875000000002301E-3</v>
      </c>
      <c r="Z12">
        <v>1.8882500000000101E-2</v>
      </c>
      <c r="AA12">
        <v>7.2477500000000195E-2</v>
      </c>
      <c r="AB12">
        <v>0.48000749999999998</v>
      </c>
      <c r="AC12">
        <v>0.43343749999999998</v>
      </c>
      <c r="AD12">
        <v>0.44940000000000002</v>
      </c>
      <c r="AE12">
        <v>0.36134250000000001</v>
      </c>
      <c r="AF12">
        <v>0.71362749999999997</v>
      </c>
      <c r="AG12">
        <v>0.71422249999999998</v>
      </c>
      <c r="AH12">
        <v>0.71806250000000005</v>
      </c>
      <c r="AI12">
        <v>0.86772249999999995</v>
      </c>
      <c r="AJ12">
        <v>1.115885</v>
      </c>
      <c r="AK12">
        <v>1.1218399999999999</v>
      </c>
      <c r="AL12">
        <v>1.0642974999999999</v>
      </c>
      <c r="AM12">
        <v>1.20086</v>
      </c>
      <c r="AN12">
        <v>1.1919249999999999</v>
      </c>
      <c r="AO12">
        <v>1.196995</v>
      </c>
      <c r="AP12">
        <v>1.1416575</v>
      </c>
      <c r="AQ12">
        <v>1.15665</v>
      </c>
      <c r="AR12">
        <v>1.2062174999999999</v>
      </c>
      <c r="AS12">
        <v>1.1881375000000001</v>
      </c>
      <c r="AT12">
        <v>1.20238</v>
      </c>
      <c r="AU12">
        <v>1.3321974999999999</v>
      </c>
      <c r="AV12">
        <v>1.3106374999999999</v>
      </c>
      <c r="AW12">
        <v>1.3087875</v>
      </c>
      <c r="AX12">
        <v>1.2712275</v>
      </c>
      <c r="AY12">
        <v>1.29705</v>
      </c>
      <c r="AZ12">
        <v>1.31488</v>
      </c>
      <c r="BA12">
        <v>1.3598675</v>
      </c>
      <c r="BB12">
        <v>1.36632</v>
      </c>
      <c r="BC12">
        <v>1.3573325000000001</v>
      </c>
      <c r="BD12">
        <v>1.4033374999999999</v>
      </c>
      <c r="BE12">
        <v>1.4281575</v>
      </c>
      <c r="BF12">
        <v>1.45065</v>
      </c>
      <c r="BG12">
        <v>1.3942950000000001</v>
      </c>
      <c r="BH12">
        <v>1.5789975000000001</v>
      </c>
    </row>
    <row r="13" spans="1:60" x14ac:dyDescent="0.25">
      <c r="A13">
        <v>2.70276338514681</v>
      </c>
      <c r="B13">
        <f t="shared" si="1"/>
        <v>3.1298000000000057</v>
      </c>
      <c r="C13">
        <f t="shared" si="2"/>
        <v>0.36999169275992005</v>
      </c>
      <c r="E13">
        <v>0</v>
      </c>
      <c r="F13">
        <v>1.1910074999999999E-2</v>
      </c>
      <c r="G13">
        <v>0.13243835000000001</v>
      </c>
      <c r="H13">
        <v>1.7515525000000001E-2</v>
      </c>
      <c r="I13">
        <v>-6.5724999999983201E-4</v>
      </c>
      <c r="J13">
        <v>-6.37724999999989E-3</v>
      </c>
      <c r="K13">
        <v>6.4768500000000007E-2</v>
      </c>
      <c r="L13">
        <v>5.0617750000000003E-2</v>
      </c>
      <c r="M13">
        <v>7.1304999999999296E-4</v>
      </c>
      <c r="N13">
        <v>3.1330000000000099E-3</v>
      </c>
      <c r="O13">
        <v>9.4159999999999799E-3</v>
      </c>
      <c r="P13">
        <v>0.162692</v>
      </c>
      <c r="Q13">
        <v>4.0884999999999803E-2</v>
      </c>
      <c r="R13">
        <v>6.9269999999999901E-2</v>
      </c>
      <c r="S13">
        <v>5.9044999999999799E-2</v>
      </c>
      <c r="T13">
        <v>0.15554499999999999</v>
      </c>
      <c r="U13">
        <v>5.0109999999999898E-2</v>
      </c>
      <c r="V13">
        <v>-5.3649999999998404E-3</v>
      </c>
      <c r="W13">
        <v>9.5322500000000199E-2</v>
      </c>
      <c r="X13">
        <v>0.16585250000000001</v>
      </c>
      <c r="Y13">
        <v>-2.9317500000000302E-2</v>
      </c>
      <c r="Z13">
        <v>-1.20299999999998E-2</v>
      </c>
      <c r="AA13">
        <v>3.6069999999999602E-2</v>
      </c>
      <c r="AB13">
        <v>0.43282750000000098</v>
      </c>
      <c r="AC13">
        <v>0.38982</v>
      </c>
      <c r="AD13">
        <v>0.39847250000000001</v>
      </c>
      <c r="AE13">
        <v>0.30725000000000002</v>
      </c>
      <c r="AF13">
        <v>0.65807750000000098</v>
      </c>
      <c r="AG13">
        <v>0.66496750000000004</v>
      </c>
      <c r="AH13">
        <v>0.6645875</v>
      </c>
      <c r="AI13">
        <v>0.80713250000000003</v>
      </c>
      <c r="AJ13">
        <v>1.0589975</v>
      </c>
      <c r="AK13">
        <v>1.059485</v>
      </c>
      <c r="AL13">
        <v>1.0104525</v>
      </c>
      <c r="AM13">
        <v>1.2115575000000001</v>
      </c>
      <c r="AN13">
        <v>1.1994475</v>
      </c>
      <c r="AO13">
        <v>1.2027099999999999</v>
      </c>
      <c r="AP13">
        <v>1.079205</v>
      </c>
      <c r="AQ13">
        <v>1.138115</v>
      </c>
      <c r="AR13">
        <v>1.2138899999999999</v>
      </c>
      <c r="AS13">
        <v>1.18919</v>
      </c>
      <c r="AT13">
        <v>1.2047924999999999</v>
      </c>
      <c r="AU13">
        <v>1.3652525</v>
      </c>
      <c r="AV13">
        <v>1.3375925</v>
      </c>
      <c r="AW13">
        <v>1.336495</v>
      </c>
      <c r="AX13">
        <v>1.2893025</v>
      </c>
      <c r="AY13">
        <v>1.314775</v>
      </c>
      <c r="AZ13">
        <v>1.3407849999999999</v>
      </c>
      <c r="BA13">
        <v>1.3849100000000001</v>
      </c>
      <c r="BB13">
        <v>1.3893275</v>
      </c>
      <c r="BC13">
        <v>1.3825175000000001</v>
      </c>
      <c r="BD13">
        <v>1.4356575</v>
      </c>
      <c r="BE13">
        <v>1.4751125</v>
      </c>
      <c r="BF13">
        <v>1.5059100000000001</v>
      </c>
      <c r="BG13">
        <v>1.4912825000000001</v>
      </c>
      <c r="BH13">
        <v>1.6717175</v>
      </c>
    </row>
    <row r="14" spans="1:60" x14ac:dyDescent="0.25">
      <c r="A14">
        <v>2.61640759930915</v>
      </c>
      <c r="B14">
        <f t="shared" si="1"/>
        <v>3.0297999999999954</v>
      </c>
      <c r="C14">
        <f t="shared" si="2"/>
        <v>0.38220344577199872</v>
      </c>
      <c r="E14">
        <v>0</v>
      </c>
      <c r="F14">
        <v>5.8013750000000001E-3</v>
      </c>
      <c r="G14">
        <v>0.13414407325</v>
      </c>
      <c r="H14">
        <v>2.2350800000000001E-2</v>
      </c>
      <c r="I14">
        <v>9.29674999999997E-3</v>
      </c>
      <c r="J14">
        <v>8.5564999999998594E-3</v>
      </c>
      <c r="K14">
        <v>7.6926000000000105E-2</v>
      </c>
      <c r="L14">
        <v>5.7370249999999998E-2</v>
      </c>
      <c r="M14">
        <v>-4.1600999999999999E-3</v>
      </c>
      <c r="N14">
        <v>-1.41095000000001E-3</v>
      </c>
      <c r="O14">
        <v>1.223525E-2</v>
      </c>
      <c r="P14">
        <v>0.16601750000000001</v>
      </c>
      <c r="Q14">
        <v>3.5485000000000003E-2</v>
      </c>
      <c r="R14">
        <v>7.4557500000000096E-2</v>
      </c>
      <c r="S14">
        <v>5.6322500000000102E-2</v>
      </c>
      <c r="T14">
        <v>0.15869749999999999</v>
      </c>
      <c r="U14">
        <v>5.6999999999999898E-2</v>
      </c>
      <c r="V14">
        <v>-1.14825000000001E-2</v>
      </c>
      <c r="W14">
        <v>9.3755000000000005E-2</v>
      </c>
      <c r="X14">
        <v>0.16518250000000001</v>
      </c>
      <c r="Y14">
        <v>-3.2449999999999903E-2</v>
      </c>
      <c r="Z14">
        <v>-1.0730000000000101E-2</v>
      </c>
      <c r="AA14">
        <v>2.8952499999999898E-2</v>
      </c>
      <c r="AB14">
        <v>0.43254500000000001</v>
      </c>
      <c r="AC14">
        <v>0.39376250000000002</v>
      </c>
      <c r="AD14">
        <v>0.39369500000000002</v>
      </c>
      <c r="AE14">
        <v>0.30132999999999999</v>
      </c>
      <c r="AF14">
        <v>0.65324499999999996</v>
      </c>
      <c r="AG14">
        <v>0.66503250000000003</v>
      </c>
      <c r="AH14">
        <v>0.66104750000000101</v>
      </c>
      <c r="AI14">
        <v>0.79757250000000002</v>
      </c>
      <c r="AJ14">
        <v>1.055145</v>
      </c>
      <c r="AK14">
        <v>1.0562075</v>
      </c>
      <c r="AL14">
        <v>1.0081</v>
      </c>
      <c r="AM14">
        <v>1.25667</v>
      </c>
      <c r="AN14">
        <v>1.247085</v>
      </c>
      <c r="AO14">
        <v>1.24769</v>
      </c>
      <c r="AP14">
        <v>1.0730124999999999</v>
      </c>
      <c r="AQ14">
        <v>1.1588274999999999</v>
      </c>
      <c r="AR14">
        <v>1.2588824999999999</v>
      </c>
      <c r="AS14">
        <v>1.2295450000000001</v>
      </c>
      <c r="AT14">
        <v>1.247185</v>
      </c>
      <c r="AU14">
        <v>1.43194</v>
      </c>
      <c r="AV14">
        <v>1.3984274999999999</v>
      </c>
      <c r="AW14">
        <v>1.3951374999999999</v>
      </c>
      <c r="AX14">
        <v>1.345045</v>
      </c>
      <c r="AY14">
        <v>1.36999</v>
      </c>
      <c r="AZ14">
        <v>1.40527</v>
      </c>
      <c r="BA14">
        <v>1.44703</v>
      </c>
      <c r="BB14">
        <v>1.4499625</v>
      </c>
      <c r="BC14">
        <v>1.4460675000000001</v>
      </c>
      <c r="BD14">
        <v>1.5019450000000001</v>
      </c>
      <c r="BE14">
        <v>1.5594475000000001</v>
      </c>
      <c r="BF14">
        <v>1.5932599999999999</v>
      </c>
      <c r="BG14">
        <v>1.6056025</v>
      </c>
      <c r="BH14">
        <v>1.779185</v>
      </c>
    </row>
    <row r="15" spans="1:60" x14ac:dyDescent="0.25">
      <c r="A15">
        <v>2.5300518134715002</v>
      </c>
      <c r="B15">
        <f t="shared" si="1"/>
        <v>2.9297999999999971</v>
      </c>
      <c r="C15">
        <f t="shared" si="2"/>
        <v>0.39524882244521847</v>
      </c>
      <c r="E15">
        <v>0</v>
      </c>
      <c r="F15">
        <v>-7.5830000000001003E-4</v>
      </c>
      <c r="G15">
        <v>0.1325072075</v>
      </c>
      <c r="H15">
        <v>2.5736124999999999E-2</v>
      </c>
      <c r="I15">
        <v>2.262875E-2</v>
      </c>
      <c r="J15">
        <v>2.0676E-2</v>
      </c>
      <c r="K15">
        <v>8.5438249999999896E-2</v>
      </c>
      <c r="L15">
        <v>6.5332500000000002E-2</v>
      </c>
      <c r="M15">
        <v>-4.2389000000000003E-3</v>
      </c>
      <c r="N15">
        <v>-4.0645000000000004E-3</v>
      </c>
      <c r="O15">
        <v>9.8937500000000102E-3</v>
      </c>
      <c r="P15">
        <v>0.16618925000000001</v>
      </c>
      <c r="Q15">
        <v>2.6502499999999901E-2</v>
      </c>
      <c r="R15">
        <v>7.9842500000000302E-2</v>
      </c>
      <c r="S15">
        <v>5.35399999999999E-2</v>
      </c>
      <c r="T15">
        <v>0.16282749999999999</v>
      </c>
      <c r="U15">
        <v>6.2394999999999999E-2</v>
      </c>
      <c r="V15">
        <v>-1.89574999999997E-2</v>
      </c>
      <c r="W15">
        <v>8.9950000000000002E-2</v>
      </c>
      <c r="X15">
        <v>0.16611999999999999</v>
      </c>
      <c r="Y15">
        <v>-4.0132499999999897E-2</v>
      </c>
      <c r="Z15">
        <v>-1.48350000000002E-2</v>
      </c>
      <c r="AA15">
        <v>1.7957500000000501E-2</v>
      </c>
      <c r="AB15">
        <v>0.23830750000000001</v>
      </c>
      <c r="AC15">
        <v>0.19843</v>
      </c>
      <c r="AD15">
        <v>0.18617500000000001</v>
      </c>
      <c r="AE15">
        <v>0.1098175</v>
      </c>
      <c r="AF15">
        <v>0.40326499999999899</v>
      </c>
      <c r="AG15">
        <v>0.42305500000000001</v>
      </c>
      <c r="AH15">
        <v>0.41134000000000098</v>
      </c>
      <c r="AI15">
        <v>0.52953249999999996</v>
      </c>
      <c r="AJ15">
        <v>0.77456000000000003</v>
      </c>
      <c r="AK15">
        <v>0.77207999999999999</v>
      </c>
      <c r="AL15">
        <v>0.72884499999999997</v>
      </c>
      <c r="AM15">
        <v>0.94460500000000003</v>
      </c>
      <c r="AN15">
        <v>0.93273249999999996</v>
      </c>
      <c r="AO15">
        <v>0.92967250000000001</v>
      </c>
      <c r="AP15">
        <v>0.76928750000000001</v>
      </c>
      <c r="AQ15">
        <v>0.85201499999999997</v>
      </c>
      <c r="AR15">
        <v>0.96331250000000002</v>
      </c>
      <c r="AS15">
        <v>0.92057749999999905</v>
      </c>
      <c r="AT15">
        <v>0.944075</v>
      </c>
      <c r="AU15">
        <v>1.0960049999999999</v>
      </c>
      <c r="AV15">
        <v>1.0558449999999999</v>
      </c>
      <c r="AW15">
        <v>1.0506949999999999</v>
      </c>
      <c r="AX15">
        <v>1.0116849999999999</v>
      </c>
      <c r="AY15">
        <v>1.02681</v>
      </c>
      <c r="AZ15">
        <v>1.0553775000000001</v>
      </c>
      <c r="BA15">
        <v>1.0890850000000001</v>
      </c>
      <c r="BB15">
        <v>1.0886825</v>
      </c>
      <c r="BC15">
        <v>1.0863750000000001</v>
      </c>
      <c r="BD15">
        <v>1.1456999999999999</v>
      </c>
      <c r="BE15">
        <v>1.2010749999999999</v>
      </c>
      <c r="BF15">
        <v>1.2371975</v>
      </c>
      <c r="BG15">
        <v>1.2379899999999999</v>
      </c>
      <c r="BH15">
        <v>1.4144650000000001</v>
      </c>
    </row>
    <row r="16" spans="1:60" x14ac:dyDescent="0.25">
      <c r="A16">
        <v>2.44369602763385</v>
      </c>
      <c r="B16">
        <f t="shared" si="1"/>
        <v>2.8297999999999979</v>
      </c>
      <c r="C16">
        <f t="shared" si="2"/>
        <v>0.40921619902466633</v>
      </c>
      <c r="E16">
        <v>0</v>
      </c>
      <c r="F16">
        <v>-8.5666750000000097E-3</v>
      </c>
      <c r="G16">
        <v>0.12989565</v>
      </c>
      <c r="H16">
        <v>2.7209799999999999E-2</v>
      </c>
      <c r="I16">
        <v>3.7070000000000103E-2</v>
      </c>
      <c r="J16">
        <v>3.03177499999999E-2</v>
      </c>
      <c r="K16">
        <v>9.4994250000000002E-2</v>
      </c>
      <c r="L16">
        <v>7.3226749999999993E-2</v>
      </c>
      <c r="M16">
        <v>-6.2237749999999904E-3</v>
      </c>
      <c r="N16">
        <v>-4.3719249999999901E-3</v>
      </c>
      <c r="O16">
        <v>8.4307500000000198E-3</v>
      </c>
      <c r="P16">
        <v>0.17135900000000001</v>
      </c>
      <c r="Q16">
        <v>1.8939999999999999E-2</v>
      </c>
      <c r="R16">
        <v>8.6207500000000006E-2</v>
      </c>
      <c r="S16">
        <v>4.9692499999999903E-2</v>
      </c>
      <c r="T16">
        <v>0.164075</v>
      </c>
      <c r="U16">
        <v>6.5094999999999903E-2</v>
      </c>
      <c r="V16">
        <v>-2.443E-2</v>
      </c>
      <c r="W16">
        <v>9.00974999999999E-2</v>
      </c>
      <c r="X16">
        <v>0.1656475</v>
      </c>
      <c r="Y16">
        <v>-4.6327499999999897E-2</v>
      </c>
      <c r="Z16">
        <v>-1.8380000000000101E-2</v>
      </c>
      <c r="AA16">
        <v>4.39250000000024E-3</v>
      </c>
      <c r="AB16">
        <v>9.35975E-2</v>
      </c>
      <c r="AC16">
        <v>5.5187499999999702E-2</v>
      </c>
      <c r="AD16">
        <v>2.6685000000000101E-2</v>
      </c>
      <c r="AE16">
        <v>-3.18025000000004E-2</v>
      </c>
      <c r="AF16">
        <v>0.21091499999999999</v>
      </c>
      <c r="AG16">
        <v>0.23835999999999999</v>
      </c>
      <c r="AH16">
        <v>0.2222875</v>
      </c>
      <c r="AI16">
        <v>0.32403000000000098</v>
      </c>
      <c r="AJ16">
        <v>0.56379999999999997</v>
      </c>
      <c r="AK16">
        <v>0.55867249999999902</v>
      </c>
      <c r="AL16">
        <v>0.52088250000000003</v>
      </c>
      <c r="AM16">
        <v>0.71933499999999995</v>
      </c>
      <c r="AN16">
        <v>0.70737000000000105</v>
      </c>
      <c r="AO16">
        <v>0.70240000000000002</v>
      </c>
      <c r="AP16">
        <v>0.54575249999999997</v>
      </c>
      <c r="AQ16">
        <v>0.62827500000000003</v>
      </c>
      <c r="AR16">
        <v>0.75090500000000004</v>
      </c>
      <c r="AS16">
        <v>0.69961500000000099</v>
      </c>
      <c r="AT16">
        <v>0.72424250000000101</v>
      </c>
      <c r="AU16">
        <v>0.863815</v>
      </c>
      <c r="AV16">
        <v>0.81583249999999996</v>
      </c>
      <c r="AW16">
        <v>0.81270499999999901</v>
      </c>
      <c r="AX16">
        <v>0.77447250000000001</v>
      </c>
      <c r="AY16">
        <v>0.78304000000000096</v>
      </c>
      <c r="AZ16">
        <v>0.81559250000000005</v>
      </c>
      <c r="BA16">
        <v>0.84054250000000097</v>
      </c>
      <c r="BB16">
        <v>0.83846750000000003</v>
      </c>
      <c r="BC16">
        <v>0.83689000000000002</v>
      </c>
      <c r="BD16">
        <v>0.89515250000000002</v>
      </c>
      <c r="BE16">
        <v>0.94985750000000002</v>
      </c>
      <c r="BF16">
        <v>0.98419250000000003</v>
      </c>
      <c r="BG16">
        <v>1.02939</v>
      </c>
      <c r="BH16">
        <v>1.2131350000000001</v>
      </c>
    </row>
    <row r="17" spans="1:60" x14ac:dyDescent="0.25">
      <c r="A17">
        <v>2.3573402417962002</v>
      </c>
      <c r="B17">
        <f t="shared" si="1"/>
        <v>2.7297999999999996</v>
      </c>
      <c r="C17">
        <f t="shared" si="2"/>
        <v>0.42420690160451319</v>
      </c>
      <c r="E17">
        <v>0</v>
      </c>
      <c r="F17">
        <v>-7.8629249999999894E-3</v>
      </c>
      <c r="G17">
        <v>0.13610707499999999</v>
      </c>
      <c r="H17">
        <v>2.8407475000000001E-2</v>
      </c>
      <c r="I17">
        <v>4.8995749999999998E-2</v>
      </c>
      <c r="J17">
        <v>4.2508749999999998E-2</v>
      </c>
      <c r="K17">
        <v>0.10668075</v>
      </c>
      <c r="L17">
        <v>8.4349500000000105E-2</v>
      </c>
      <c r="M17">
        <v>-4.53135E-3</v>
      </c>
      <c r="N17">
        <v>-8.4484000000000104E-3</v>
      </c>
      <c r="O17">
        <v>1.329925E-2</v>
      </c>
      <c r="P17">
        <v>0.18774750000000001</v>
      </c>
      <c r="Q17">
        <v>1.6557499999999802E-2</v>
      </c>
      <c r="R17">
        <v>9.9734999999999699E-2</v>
      </c>
      <c r="S17">
        <v>5.0205000000000097E-2</v>
      </c>
      <c r="T17">
        <v>0.17643249999999999</v>
      </c>
      <c r="U17">
        <v>7.9339999999999994E-2</v>
      </c>
      <c r="V17">
        <v>-2.5747499999999798E-2</v>
      </c>
      <c r="W17">
        <v>9.5072500000000101E-2</v>
      </c>
      <c r="X17">
        <v>0.17754500000000001</v>
      </c>
      <c r="Y17">
        <v>-4.47675000000003E-2</v>
      </c>
      <c r="Z17">
        <v>-1.84074999999999E-2</v>
      </c>
      <c r="AA17">
        <v>2.79499999999988E-3</v>
      </c>
      <c r="AB17">
        <v>8.4675000000000306E-2</v>
      </c>
      <c r="AC17">
        <v>4.90175000000002E-2</v>
      </c>
      <c r="AD17">
        <v>7.3600000000002604E-3</v>
      </c>
      <c r="AE17">
        <v>-5.0134999999999999E-2</v>
      </c>
      <c r="AF17">
        <v>0.1593125</v>
      </c>
      <c r="AG17">
        <v>0.1909025</v>
      </c>
      <c r="AH17">
        <v>0.17016500000000001</v>
      </c>
      <c r="AI17">
        <v>0.238485</v>
      </c>
      <c r="AJ17">
        <v>0.47578500000000101</v>
      </c>
      <c r="AK17">
        <v>0.46913749999999999</v>
      </c>
      <c r="AL17">
        <v>0.42967250000000001</v>
      </c>
      <c r="AM17">
        <v>0.61896499999999999</v>
      </c>
      <c r="AN17">
        <v>0.60741999999999996</v>
      </c>
      <c r="AO17">
        <v>0.60002250000000001</v>
      </c>
      <c r="AP17">
        <v>0.44130000000000003</v>
      </c>
      <c r="AQ17">
        <v>0.52632749999999995</v>
      </c>
      <c r="AR17">
        <v>0.66369499999999904</v>
      </c>
      <c r="AS17">
        <v>0.60384750000000098</v>
      </c>
      <c r="AT17">
        <v>0.629592500000001</v>
      </c>
      <c r="AU17">
        <v>0.76351750000000096</v>
      </c>
      <c r="AV17">
        <v>0.70991000000000004</v>
      </c>
      <c r="AW17">
        <v>0.70174750000000097</v>
      </c>
      <c r="AX17">
        <v>0.66942250000000103</v>
      </c>
      <c r="AY17">
        <v>0.67264500000000005</v>
      </c>
      <c r="AZ17">
        <v>0.70573249999999998</v>
      </c>
      <c r="BA17">
        <v>0.72486499999999998</v>
      </c>
      <c r="BB17">
        <v>0.72023250000000205</v>
      </c>
      <c r="BC17">
        <v>0.720275</v>
      </c>
      <c r="BD17">
        <v>0.7666075</v>
      </c>
      <c r="BE17">
        <v>0.81849499999999997</v>
      </c>
      <c r="BF17">
        <v>0.85304000000000102</v>
      </c>
      <c r="BG17">
        <v>0.89678000000000002</v>
      </c>
      <c r="BH17">
        <v>1.1060525000000001</v>
      </c>
    </row>
    <row r="24" spans="1:60" x14ac:dyDescent="0.25">
      <c r="D24" s="2" t="str">
        <f>D1</f>
        <v>P [kN]</v>
      </c>
      <c r="E24">
        <f>MAX($E1:E1)</f>
        <v>0</v>
      </c>
      <c r="F24">
        <f>MAX($E1:F1)</f>
        <v>50</v>
      </c>
      <c r="G24">
        <f>MAX($E1:G1)</f>
        <v>51</v>
      </c>
      <c r="H24">
        <f>MAX($E1:H1)</f>
        <v>51</v>
      </c>
      <c r="I24">
        <f>MAX($E1:I1)</f>
        <v>91</v>
      </c>
      <c r="J24">
        <f>MAX($E1:J1)</f>
        <v>91</v>
      </c>
      <c r="K24">
        <f>MAX($E1:K1)</f>
        <v>93</v>
      </c>
      <c r="L24">
        <f>MAX($E1:L1)</f>
        <v>98</v>
      </c>
      <c r="M24">
        <f>MAX($E1:M1)</f>
        <v>100</v>
      </c>
      <c r="N24">
        <f>MAX($E1:N1)</f>
        <v>100</v>
      </c>
      <c r="O24">
        <f>MAX($E1:O1)</f>
        <v>101</v>
      </c>
      <c r="P24">
        <f>MAX($E1:P1)</f>
        <v>127</v>
      </c>
      <c r="Q24">
        <f>MAX($E1:Q1)</f>
        <v>135</v>
      </c>
      <c r="R24">
        <f>MAX($E1:R1)</f>
        <v>136</v>
      </c>
      <c r="S24">
        <f>MAX($E1:S1)</f>
        <v>136</v>
      </c>
      <c r="T24">
        <f>MAX($E1:T1)</f>
        <v>137</v>
      </c>
      <c r="U24">
        <f>MAX($E1:U1)</f>
        <v>137</v>
      </c>
      <c r="V24">
        <f>MAX($E1:V1)</f>
        <v>145</v>
      </c>
      <c r="W24">
        <f>MAX($E1:W1)</f>
        <v>149</v>
      </c>
      <c r="X24">
        <f>MAX($E1:X1)</f>
        <v>149</v>
      </c>
      <c r="Y24">
        <f>MAX($E1:Y1)</f>
        <v>176</v>
      </c>
      <c r="Z24">
        <f>MAX($E1:Z1)</f>
        <v>176</v>
      </c>
      <c r="AA24">
        <f>MAX($E1:AA1)</f>
        <v>177</v>
      </c>
      <c r="AB24">
        <f>MAX($E1:AB1)</f>
        <v>183</v>
      </c>
      <c r="AC24">
        <f>MAX($E1:AC1)</f>
        <v>184</v>
      </c>
      <c r="AD24">
        <f>MAX($E1:AD1)</f>
        <v>184</v>
      </c>
      <c r="AE24">
        <f>MAX($E1:AE1)</f>
        <v>186</v>
      </c>
      <c r="AF24">
        <f>MAX($E1:AF1)</f>
        <v>201</v>
      </c>
      <c r="AG24">
        <f>MAX($E1:AG1)</f>
        <v>202</v>
      </c>
      <c r="AH24">
        <f>MAX($E1:AH1)</f>
        <v>203</v>
      </c>
      <c r="AI24">
        <f>MAX($E1:AI1)</f>
        <v>217</v>
      </c>
      <c r="AJ24">
        <f>MAX($E1:AJ1)</f>
        <v>220</v>
      </c>
      <c r="AK24">
        <f>MAX($E1:AK1)</f>
        <v>221</v>
      </c>
      <c r="AL24">
        <f>MAX($E1:AL1)</f>
        <v>222</v>
      </c>
      <c r="AM24">
        <f>MAX($E1:AM1)</f>
        <v>223</v>
      </c>
      <c r="AN24">
        <f>MAX($E1:AN1)</f>
        <v>223</v>
      </c>
      <c r="AO24">
        <f>MAX($E1:AO1)</f>
        <v>223</v>
      </c>
      <c r="AP24">
        <f>MAX($E1:AP1)</f>
        <v>225</v>
      </c>
      <c r="AQ24">
        <f>MAX($E1:AQ1)</f>
        <v>225</v>
      </c>
      <c r="AR24">
        <f>MAX($E1:AR1)</f>
        <v>226</v>
      </c>
      <c r="AS24">
        <f>MAX($E1:AS1)</f>
        <v>226</v>
      </c>
      <c r="AT24">
        <f>MAX($E1:AT1)</f>
        <v>227</v>
      </c>
      <c r="AU24">
        <f>MAX($E1:AU1)</f>
        <v>238</v>
      </c>
      <c r="AV24">
        <f>MAX($E1:AV1)</f>
        <v>238</v>
      </c>
      <c r="AW24">
        <f>MAX($E1:AW1)</f>
        <v>238</v>
      </c>
      <c r="AX24">
        <f>MAX($E1:AX1)</f>
        <v>240</v>
      </c>
      <c r="AY24">
        <f>MAX($E1:AY1)</f>
        <v>245</v>
      </c>
      <c r="AZ24">
        <f>MAX($E1:AZ1)</f>
        <v>246</v>
      </c>
      <c r="BA24">
        <f>MAX($E1:BA1)</f>
        <v>252</v>
      </c>
      <c r="BB24">
        <f>MAX($E1:BB1)</f>
        <v>253</v>
      </c>
      <c r="BC24">
        <f>MAX($E1:BC1)</f>
        <v>253</v>
      </c>
      <c r="BD24">
        <f>MAX($E1:BD1)</f>
        <v>255</v>
      </c>
      <c r="BE24">
        <f>MAX($E1:BE1)</f>
        <v>258</v>
      </c>
      <c r="BF24">
        <f>MAX($E1:BF1)</f>
        <v>259</v>
      </c>
      <c r="BG24">
        <f>MAX($E1:BG1)</f>
        <v>263</v>
      </c>
      <c r="BH24">
        <f>MAX($E1:BH1)</f>
        <v>263</v>
      </c>
    </row>
    <row r="25" spans="1:60" x14ac:dyDescent="0.25">
      <c r="A25" s="2" t="str">
        <f>A2</f>
        <v>M/(Vd)</v>
      </c>
      <c r="B25" s="2" t="str">
        <f t="shared" ref="B25:C25" si="3">B2</f>
        <v>x</v>
      </c>
      <c r="C25" s="2" t="str">
        <f t="shared" si="3"/>
        <v>Vd/M</v>
      </c>
      <c r="D25" s="2" t="str">
        <f>D2</f>
        <v>V [kN]</v>
      </c>
      <c r="E25">
        <f>MAX($E2:E2)</f>
        <v>30</v>
      </c>
      <c r="F25">
        <f>MAX($E2:F2)</f>
        <v>55</v>
      </c>
      <c r="G25">
        <f>MAX($E2:G2)</f>
        <v>55.5</v>
      </c>
      <c r="H25">
        <f>MAX($E2:H2)</f>
        <v>55.5</v>
      </c>
      <c r="I25">
        <f>MAX($E2:I2)</f>
        <v>75.5</v>
      </c>
      <c r="J25">
        <f>MAX($E2:J2)</f>
        <v>75.5</v>
      </c>
      <c r="K25">
        <f>MAX($E2:K2)</f>
        <v>76.5</v>
      </c>
      <c r="L25">
        <f>MAX($E2:L2)</f>
        <v>79</v>
      </c>
      <c r="M25">
        <f>MAX($E2:M2)</f>
        <v>80</v>
      </c>
      <c r="N25">
        <f>MAX($E2:N2)</f>
        <v>80</v>
      </c>
      <c r="O25">
        <f>MAX($E2:O2)</f>
        <v>80.5</v>
      </c>
      <c r="P25">
        <f>MAX($E2:P2)</f>
        <v>93.5</v>
      </c>
      <c r="Q25">
        <f>MAX($E2:Q2)</f>
        <v>97.5</v>
      </c>
      <c r="R25">
        <f>MAX($E2:R2)</f>
        <v>98</v>
      </c>
      <c r="S25">
        <f>MAX($E2:S2)</f>
        <v>98</v>
      </c>
      <c r="T25">
        <f>MAX($E2:T2)</f>
        <v>98.5</v>
      </c>
      <c r="U25">
        <f>MAX($E2:U2)</f>
        <v>98.5</v>
      </c>
      <c r="V25">
        <f>MAX($E2:V2)</f>
        <v>102.5</v>
      </c>
      <c r="W25">
        <f>MAX($E2:W2)</f>
        <v>104.5</v>
      </c>
      <c r="X25">
        <f>MAX($E2:X2)</f>
        <v>104.5</v>
      </c>
      <c r="Y25">
        <f>MAX($E2:Y2)</f>
        <v>118</v>
      </c>
      <c r="Z25">
        <f>MAX($E2:Z2)</f>
        <v>118</v>
      </c>
      <c r="AA25">
        <f>MAX($E2:AA2)</f>
        <v>118.5</v>
      </c>
      <c r="AB25">
        <f>MAX($E2:AB2)</f>
        <v>121.5</v>
      </c>
      <c r="AC25">
        <f>MAX($E2:AC2)</f>
        <v>122</v>
      </c>
      <c r="AD25">
        <f>MAX($E2:AD2)</f>
        <v>122</v>
      </c>
      <c r="AE25">
        <f>MAX($E2:AE2)</f>
        <v>123</v>
      </c>
      <c r="AF25">
        <f>MAX($E2:AF2)</f>
        <v>130.5</v>
      </c>
      <c r="AG25">
        <f>MAX($E2:AG2)</f>
        <v>131</v>
      </c>
      <c r="AH25">
        <f>MAX($E2:AH2)</f>
        <v>131.5</v>
      </c>
      <c r="AI25">
        <f>MAX($E2:AI2)</f>
        <v>138.5</v>
      </c>
      <c r="AJ25">
        <f>MAX($E2:AJ2)</f>
        <v>140</v>
      </c>
      <c r="AK25">
        <f>MAX($E2:AK2)</f>
        <v>140.5</v>
      </c>
      <c r="AL25">
        <f>MAX($E2:AL2)</f>
        <v>141</v>
      </c>
      <c r="AM25">
        <f>MAX($E2:AM2)</f>
        <v>141.5</v>
      </c>
      <c r="AN25">
        <f>MAX($E2:AN2)</f>
        <v>141.5</v>
      </c>
      <c r="AO25">
        <f>MAX($E2:AO2)</f>
        <v>141.5</v>
      </c>
      <c r="AP25">
        <f>MAX($E2:AP2)</f>
        <v>142.5</v>
      </c>
      <c r="AQ25">
        <f>MAX($E2:AQ2)</f>
        <v>142.5</v>
      </c>
      <c r="AR25">
        <f>MAX($E2:AR2)</f>
        <v>143</v>
      </c>
      <c r="AS25">
        <f>MAX($E2:AS2)</f>
        <v>143</v>
      </c>
      <c r="AT25">
        <f>MAX($E2:AT2)</f>
        <v>143.5</v>
      </c>
      <c r="AU25">
        <f>MAX($E2:AU2)</f>
        <v>149</v>
      </c>
      <c r="AV25">
        <f>MAX($E2:AV2)</f>
        <v>149</v>
      </c>
      <c r="AW25">
        <f>MAX($E2:AW2)</f>
        <v>149</v>
      </c>
      <c r="AX25">
        <f>MAX($E2:AX2)</f>
        <v>150</v>
      </c>
      <c r="AY25">
        <f>MAX($E2:AY2)</f>
        <v>152.5</v>
      </c>
      <c r="AZ25">
        <f>MAX($E2:AZ2)</f>
        <v>153</v>
      </c>
      <c r="BA25">
        <f>MAX($E2:BA2)</f>
        <v>156</v>
      </c>
      <c r="BB25">
        <f>MAX($E2:BB2)</f>
        <v>156.5</v>
      </c>
      <c r="BC25">
        <f>MAX($E2:BC2)</f>
        <v>156.5</v>
      </c>
      <c r="BD25">
        <f>MAX($E2:BD2)</f>
        <v>157.5</v>
      </c>
      <c r="BE25">
        <f>MAX($E2:BE2)</f>
        <v>159</v>
      </c>
      <c r="BF25">
        <f>MAX($E2:BF2)</f>
        <v>159.5</v>
      </c>
      <c r="BG25">
        <f>MAX($E2:BG2)</f>
        <v>161.5</v>
      </c>
      <c r="BH25">
        <f>MAX($E2:BH2)</f>
        <v>161.5</v>
      </c>
    </row>
    <row r="26" spans="1:60" x14ac:dyDescent="0.25">
      <c r="A26">
        <v>3.56632124352332</v>
      </c>
      <c r="B26">
        <f>1.158*A26</f>
        <v>4.1298000000000039</v>
      </c>
      <c r="C26">
        <f>C3</f>
        <v>0.28040098794130436</v>
      </c>
      <c r="E26">
        <f>MAX($E3:E3)</f>
        <v>0</v>
      </c>
      <c r="F26">
        <f>MAX($E3:F3)</f>
        <v>2.27154E-2</v>
      </c>
      <c r="G26">
        <f>MAX($E3:G3)</f>
        <v>0.16031219999999999</v>
      </c>
      <c r="H26">
        <f>MAX($E3:H3)</f>
        <v>0.16031219999999999</v>
      </c>
      <c r="I26">
        <f>MAX($E3:I3)</f>
        <v>0.16031219999999999</v>
      </c>
      <c r="J26">
        <f>MAX($E3:J3)</f>
        <v>0.16031219999999999</v>
      </c>
      <c r="K26">
        <f>MAX($E3:K3)</f>
        <v>0.16031219999999999</v>
      </c>
      <c r="L26">
        <f>MAX($E3:L3)</f>
        <v>0.16031219999999999</v>
      </c>
      <c r="M26">
        <f>MAX($E3:M3)</f>
        <v>0.16031219999999999</v>
      </c>
      <c r="N26">
        <f>MAX($E3:N3)</f>
        <v>0.16031219999999999</v>
      </c>
      <c r="O26">
        <f>MAX($E3:O3)</f>
        <v>0.16031219999999999</v>
      </c>
      <c r="P26">
        <f>MAX($E3:P3)</f>
        <v>0.18378050000000001</v>
      </c>
      <c r="Q26">
        <f>MAX($E3:Q3)</f>
        <v>0.621313</v>
      </c>
      <c r="R26">
        <f>MAX($E3:R3)</f>
        <v>0.621313</v>
      </c>
      <c r="S26">
        <f>MAX($E3:S3)</f>
        <v>0.621313</v>
      </c>
      <c r="T26">
        <f>MAX($E3:T3)</f>
        <v>0.621313</v>
      </c>
      <c r="U26">
        <f>MAX($E3:U3)</f>
        <v>0.621313</v>
      </c>
      <c r="V26">
        <f>MAX($E3:V3)</f>
        <v>0.621313</v>
      </c>
      <c r="W26">
        <f>MAX($E3:W3)</f>
        <v>0.621313</v>
      </c>
      <c r="X26">
        <f>MAX($E3:X3)</f>
        <v>0.621313</v>
      </c>
      <c r="Y26">
        <f>MAX($E3:Y3)</f>
        <v>0.96480250000000001</v>
      </c>
      <c r="Z26">
        <f>MAX($E3:Z3)</f>
        <v>0.99676500000000001</v>
      </c>
      <c r="AA26">
        <f>MAX($E3:AA3)</f>
        <v>1.1189150000000001</v>
      </c>
      <c r="AB26">
        <f>MAX($E3:AB3)</f>
        <v>1.3857575</v>
      </c>
      <c r="AC26">
        <f>MAX($E3:AC3)</f>
        <v>1.3857575</v>
      </c>
      <c r="AD26">
        <f>MAX($E3:AD3)</f>
        <v>1.3857575</v>
      </c>
      <c r="AE26">
        <f>MAX($E3:AE3)</f>
        <v>1.3857575</v>
      </c>
      <c r="AF26">
        <f>MAX($E3:AF3)</f>
        <v>1.3857575</v>
      </c>
      <c r="AG26">
        <f>MAX($E3:AG3)</f>
        <v>1.3857575</v>
      </c>
      <c r="AH26">
        <f>MAX($E3:AH3)</f>
        <v>1.3857575</v>
      </c>
      <c r="AI26">
        <f>MAX($E3:AI3)</f>
        <v>1.3857575</v>
      </c>
      <c r="AJ26">
        <f>MAX($E3:AJ3)</f>
        <v>1.510575</v>
      </c>
      <c r="AK26">
        <f>MAX($E3:AK3)</f>
        <v>1.5260499999999999</v>
      </c>
      <c r="AL26">
        <f>MAX($E3:AL3)</f>
        <v>1.5260499999999999</v>
      </c>
      <c r="AM26">
        <f>MAX($E3:AM3)</f>
        <v>1.5557449999999999</v>
      </c>
      <c r="AN26">
        <f>MAX($E3:AN3)</f>
        <v>1.5669474999999999</v>
      </c>
      <c r="AO26">
        <f>MAX($E3:AO3)</f>
        <v>1.5676924999999999</v>
      </c>
      <c r="AP26">
        <f>MAX($E3:AP3)</f>
        <v>1.5676924999999999</v>
      </c>
      <c r="AQ26">
        <f>MAX($E3:AQ3)</f>
        <v>1.5676924999999999</v>
      </c>
      <c r="AR26">
        <f>MAX($E3:AR3)</f>
        <v>1.5676924999999999</v>
      </c>
      <c r="AS26">
        <f>MAX($E3:AS3)</f>
        <v>1.5676924999999999</v>
      </c>
      <c r="AT26">
        <f>MAX($E3:AT3)</f>
        <v>1.5676924999999999</v>
      </c>
      <c r="AU26">
        <f>MAX($E3:AU3)</f>
        <v>1.6095649999999999</v>
      </c>
      <c r="AV26">
        <f>MAX($E3:AV3)</f>
        <v>1.6604725</v>
      </c>
      <c r="AW26">
        <f>MAX($E3:AW3)</f>
        <v>1.6683375</v>
      </c>
      <c r="AX26">
        <f>MAX($E3:AX3)</f>
        <v>1.6683375</v>
      </c>
      <c r="AY26">
        <f>MAX($E3:AY3)</f>
        <v>1.6856074999999999</v>
      </c>
      <c r="AZ26">
        <f>MAX($E3:AZ3)</f>
        <v>1.6856074999999999</v>
      </c>
      <c r="BA26">
        <f>MAX($E3:BA3)</f>
        <v>1.7655700000000001</v>
      </c>
      <c r="BB26">
        <f>MAX($E3:BB3)</f>
        <v>1.7737400000000001</v>
      </c>
      <c r="BC26">
        <f>MAX($E3:BC3)</f>
        <v>1.7737400000000001</v>
      </c>
      <c r="BD26">
        <f>MAX($E3:BD3)</f>
        <v>1.797925</v>
      </c>
      <c r="BE26">
        <f>MAX($E3:BE3)</f>
        <v>1.8098650000000001</v>
      </c>
      <c r="BF26">
        <f>MAX($E3:BF3)</f>
        <v>1.8098650000000001</v>
      </c>
      <c r="BG26">
        <f>MAX($E3:BG3)</f>
        <v>1.8098650000000001</v>
      </c>
      <c r="BH26">
        <f>MAX($E3:BH3)</f>
        <v>1.81375</v>
      </c>
    </row>
    <row r="27" spans="1:60" x14ac:dyDescent="0.25">
      <c r="A27">
        <v>3.4799654576856698</v>
      </c>
      <c r="B27">
        <f t="shared" ref="B27:B40" si="4">1.158*A27</f>
        <v>4.0298000000000052</v>
      </c>
      <c r="C27">
        <f t="shared" ref="C27:C40" si="5">C4</f>
        <v>0.28735917415256301</v>
      </c>
      <c r="E27">
        <f>MAX($E4:E4)</f>
        <v>0</v>
      </c>
      <c r="F27">
        <f>MAX($E4:F4)</f>
        <v>2.4859949999999999E-2</v>
      </c>
      <c r="G27">
        <f>MAX($E4:G4)</f>
        <v>0.14192502500000001</v>
      </c>
      <c r="H27">
        <f>MAX($E4:H4)</f>
        <v>0.14192502500000001</v>
      </c>
      <c r="I27">
        <f>MAX($E4:I4)</f>
        <v>0.14192502500000001</v>
      </c>
      <c r="J27">
        <f>MAX($E4:J4)</f>
        <v>0.14192502500000001</v>
      </c>
      <c r="K27">
        <f>MAX($E4:K4)</f>
        <v>0.14192502500000001</v>
      </c>
      <c r="L27">
        <f>MAX($E4:L4)</f>
        <v>0.14192502500000001</v>
      </c>
      <c r="M27">
        <f>MAX($E4:M4)</f>
        <v>0.14192502500000001</v>
      </c>
      <c r="N27">
        <f>MAX($E4:N4)</f>
        <v>0.14192502500000001</v>
      </c>
      <c r="O27">
        <f>MAX($E4:O4)</f>
        <v>0.14192502500000001</v>
      </c>
      <c r="P27">
        <f>MAX($E4:P4)</f>
        <v>0.16671825000000001</v>
      </c>
      <c r="Q27">
        <f>MAX($E4:Q4)</f>
        <v>0.50819000000000003</v>
      </c>
      <c r="R27">
        <f>MAX($E4:R4)</f>
        <v>0.50819000000000003</v>
      </c>
      <c r="S27">
        <f>MAX($E4:S4)</f>
        <v>0.50819000000000003</v>
      </c>
      <c r="T27">
        <f>MAX($E4:T4)</f>
        <v>0.50819000000000003</v>
      </c>
      <c r="U27">
        <f>MAX($E4:U4)</f>
        <v>0.50819000000000003</v>
      </c>
      <c r="V27">
        <f>MAX($E4:V4)</f>
        <v>0.50819000000000003</v>
      </c>
      <c r="W27">
        <f>MAX($E4:W4)</f>
        <v>0.50819000000000003</v>
      </c>
      <c r="X27">
        <f>MAX($E4:X4)</f>
        <v>0.50819000000000003</v>
      </c>
      <c r="Y27">
        <f>MAX($E4:Y4)</f>
        <v>0.86697749999999996</v>
      </c>
      <c r="Z27">
        <f>MAX($E4:Z4)</f>
        <v>0.89531749999999999</v>
      </c>
      <c r="AA27">
        <f>MAX($E4:AA4)</f>
        <v>0.99888500000000002</v>
      </c>
      <c r="AB27">
        <f>MAX($E4:AB4)</f>
        <v>1.2563</v>
      </c>
      <c r="AC27">
        <f>MAX($E4:AC4)</f>
        <v>1.2563</v>
      </c>
      <c r="AD27">
        <f>MAX($E4:AD4)</f>
        <v>1.2563</v>
      </c>
      <c r="AE27">
        <f>MAX($E4:AE4)</f>
        <v>1.2563</v>
      </c>
      <c r="AF27">
        <f>MAX($E4:AF4)</f>
        <v>1.2622599999999999</v>
      </c>
      <c r="AG27">
        <f>MAX($E4:AG4)</f>
        <v>1.2622599999999999</v>
      </c>
      <c r="AH27">
        <f>MAX($E4:AH4)</f>
        <v>1.2622599999999999</v>
      </c>
      <c r="AI27">
        <f>MAX($E4:AI4)</f>
        <v>1.2622599999999999</v>
      </c>
      <c r="AJ27">
        <f>MAX($E4:AJ4)</f>
        <v>1.3646624999999999</v>
      </c>
      <c r="AK27">
        <f>MAX($E4:AK4)</f>
        <v>1.3817999999999999</v>
      </c>
      <c r="AL27">
        <f>MAX($E4:AL4)</f>
        <v>1.3817999999999999</v>
      </c>
      <c r="AM27">
        <f>MAX($E4:AM4)</f>
        <v>1.4038925</v>
      </c>
      <c r="AN27">
        <f>MAX($E4:AN4)</f>
        <v>1.4142349999999999</v>
      </c>
      <c r="AO27">
        <f>MAX($E4:AO4)</f>
        <v>1.4158599999999999</v>
      </c>
      <c r="AP27">
        <f>MAX($E4:AP4)</f>
        <v>1.4158599999999999</v>
      </c>
      <c r="AQ27">
        <f>MAX($E4:AQ4)</f>
        <v>1.4158599999999999</v>
      </c>
      <c r="AR27">
        <f>MAX($E4:AR4)</f>
        <v>1.4158599999999999</v>
      </c>
      <c r="AS27">
        <f>MAX($E4:AS4)</f>
        <v>1.4158599999999999</v>
      </c>
      <c r="AT27">
        <f>MAX($E4:AT4)</f>
        <v>1.4158599999999999</v>
      </c>
      <c r="AU27">
        <f>MAX($E4:AU4)</f>
        <v>1.4520824999999999</v>
      </c>
      <c r="AV27">
        <f>MAX($E4:AV4)</f>
        <v>1.4973924999999999</v>
      </c>
      <c r="AW27">
        <f>MAX($E4:AW4)</f>
        <v>1.5008600000000001</v>
      </c>
      <c r="AX27">
        <f>MAX($E4:AX4)</f>
        <v>1.5008600000000001</v>
      </c>
      <c r="AY27">
        <f>MAX($E4:AY4)</f>
        <v>1.5151975</v>
      </c>
      <c r="AZ27">
        <f>MAX($E4:AZ4)</f>
        <v>1.5151975</v>
      </c>
      <c r="BA27">
        <f>MAX($E4:BA4)</f>
        <v>1.5881050000000001</v>
      </c>
      <c r="BB27">
        <f>MAX($E4:BB4)</f>
        <v>1.593515</v>
      </c>
      <c r="BC27">
        <f>MAX($E4:BC4)</f>
        <v>1.593515</v>
      </c>
      <c r="BD27">
        <f>MAX($E4:BD4)</f>
        <v>1.6180650000000001</v>
      </c>
      <c r="BE27">
        <f>MAX($E4:BE4)</f>
        <v>1.6255124999999999</v>
      </c>
      <c r="BF27">
        <f>MAX($E4:BF4)</f>
        <v>1.6255124999999999</v>
      </c>
      <c r="BG27">
        <f>MAX($E4:BG4)</f>
        <v>1.6255124999999999</v>
      </c>
      <c r="BH27">
        <f>MAX($E4:BH4)</f>
        <v>1.6304875000000001</v>
      </c>
    </row>
    <row r="28" spans="1:60" x14ac:dyDescent="0.25">
      <c r="A28">
        <v>3.3936096718480102</v>
      </c>
      <c r="B28">
        <f t="shared" si="4"/>
        <v>3.9297999999999957</v>
      </c>
      <c r="C28">
        <f t="shared" si="5"/>
        <v>0.29467148455392161</v>
      </c>
      <c r="E28">
        <f>MAX($E5:E5)</f>
        <v>0</v>
      </c>
      <c r="F28">
        <f>MAX($E5:F5)</f>
        <v>2.5106074999999999E-2</v>
      </c>
      <c r="G28">
        <f>MAX($E5:G5)</f>
        <v>0.13579648375</v>
      </c>
      <c r="H28">
        <f>MAX($E5:H5)</f>
        <v>0.13579648375</v>
      </c>
      <c r="I28">
        <f>MAX($E5:I5)</f>
        <v>0.13579648375</v>
      </c>
      <c r="J28">
        <f>MAX($E5:J5)</f>
        <v>0.13579648375</v>
      </c>
      <c r="K28">
        <f>MAX($E5:K5)</f>
        <v>0.13579648375</v>
      </c>
      <c r="L28">
        <f>MAX($E5:L5)</f>
        <v>0.13579648375</v>
      </c>
      <c r="M28">
        <f>MAX($E5:M5)</f>
        <v>0.13579648375</v>
      </c>
      <c r="N28">
        <f>MAX($E5:N5)</f>
        <v>0.13579648375</v>
      </c>
      <c r="O28">
        <f>MAX($E5:O5)</f>
        <v>0.13579648375</v>
      </c>
      <c r="P28">
        <f>MAX($E5:P5)</f>
        <v>0.155393</v>
      </c>
      <c r="Q28">
        <f>MAX($E5:Q5)</f>
        <v>0.43937749999999998</v>
      </c>
      <c r="R28">
        <f>MAX($E5:R5)</f>
        <v>0.43937749999999998</v>
      </c>
      <c r="S28">
        <f>MAX($E5:S5)</f>
        <v>0.43937749999999998</v>
      </c>
      <c r="T28">
        <f>MAX($E5:T5)</f>
        <v>0.43937749999999998</v>
      </c>
      <c r="U28">
        <f>MAX($E5:U5)</f>
        <v>0.43937749999999998</v>
      </c>
      <c r="V28">
        <f>MAX($E5:V5)</f>
        <v>0.43937749999999998</v>
      </c>
      <c r="W28">
        <f>MAX($E5:W5)</f>
        <v>0.43937749999999998</v>
      </c>
      <c r="X28">
        <f>MAX($E5:X5)</f>
        <v>0.43937749999999998</v>
      </c>
      <c r="Y28">
        <f>MAX($E5:Y5)</f>
        <v>0.79603250000000003</v>
      </c>
      <c r="Z28">
        <f>MAX($E5:Z5)</f>
        <v>0.82082750000000004</v>
      </c>
      <c r="AA28">
        <f>MAX($E5:AA5)</f>
        <v>0.91652</v>
      </c>
      <c r="AB28">
        <f>MAX($E5:AB5)</f>
        <v>1.1794849999999999</v>
      </c>
      <c r="AC28">
        <f>MAX($E5:AC5)</f>
        <v>1.1794849999999999</v>
      </c>
      <c r="AD28">
        <f>MAX($E5:AD5)</f>
        <v>1.1794849999999999</v>
      </c>
      <c r="AE28">
        <f>MAX($E5:AE5)</f>
        <v>1.1794849999999999</v>
      </c>
      <c r="AF28">
        <f>MAX($E5:AF5)</f>
        <v>1.1909700000000001</v>
      </c>
      <c r="AG28">
        <f>MAX($E5:AG5)</f>
        <v>1.1909700000000001</v>
      </c>
      <c r="AH28">
        <f>MAX($E5:AH5)</f>
        <v>1.1909700000000001</v>
      </c>
      <c r="AI28">
        <f>MAX($E5:AI5)</f>
        <v>1.1909700000000001</v>
      </c>
      <c r="AJ28">
        <f>MAX($E5:AJ5)</f>
        <v>1.2853300000000001</v>
      </c>
      <c r="AK28">
        <f>MAX($E5:AK5)</f>
        <v>1.3019775</v>
      </c>
      <c r="AL28">
        <f>MAX($E5:AL5)</f>
        <v>1.3019775</v>
      </c>
      <c r="AM28">
        <f>MAX($E5:AM5)</f>
        <v>1.3268074999999999</v>
      </c>
      <c r="AN28">
        <f>MAX($E5:AN5)</f>
        <v>1.3314524999999999</v>
      </c>
      <c r="AO28">
        <f>MAX($E5:AO5)</f>
        <v>1.3353075000000001</v>
      </c>
      <c r="AP28">
        <f>MAX($E5:AP5)</f>
        <v>1.3353075000000001</v>
      </c>
      <c r="AQ28">
        <f>MAX($E5:AQ5)</f>
        <v>1.3353075000000001</v>
      </c>
      <c r="AR28">
        <f>MAX($E5:AR5)</f>
        <v>1.3353075000000001</v>
      </c>
      <c r="AS28">
        <f>MAX($E5:AS5)</f>
        <v>1.3353075000000001</v>
      </c>
      <c r="AT28">
        <f>MAX($E5:AT5)</f>
        <v>1.3353075000000001</v>
      </c>
      <c r="AU28">
        <f>MAX($E5:AU5)</f>
        <v>1.3796824999999999</v>
      </c>
      <c r="AV28">
        <f>MAX($E5:AV5)</f>
        <v>1.41357</v>
      </c>
      <c r="AW28">
        <f>MAX($E5:AW5)</f>
        <v>1.4217</v>
      </c>
      <c r="AX28">
        <f>MAX($E5:AX5)</f>
        <v>1.4217</v>
      </c>
      <c r="AY28">
        <f>MAX($E5:AY5)</f>
        <v>1.42953</v>
      </c>
      <c r="AZ28">
        <f>MAX($E5:AZ5)</f>
        <v>1.42953</v>
      </c>
      <c r="BA28">
        <f>MAX($E5:BA5)</f>
        <v>1.5019899999999999</v>
      </c>
      <c r="BB28">
        <f>MAX($E5:BB5)</f>
        <v>1.5085150000000001</v>
      </c>
      <c r="BC28">
        <f>MAX($E5:BC5)</f>
        <v>1.5085150000000001</v>
      </c>
      <c r="BD28">
        <f>MAX($E5:BD5)</f>
        <v>1.5274375</v>
      </c>
      <c r="BE28">
        <f>MAX($E5:BE5)</f>
        <v>1.5377274999999999</v>
      </c>
      <c r="BF28">
        <f>MAX($E5:BF5)</f>
        <v>1.5377274999999999</v>
      </c>
      <c r="BG28">
        <f>MAX($E5:BG5)</f>
        <v>1.5377274999999999</v>
      </c>
      <c r="BH28">
        <f>MAX($E5:BH5)</f>
        <v>1.5397725</v>
      </c>
    </row>
    <row r="29" spans="1:60" x14ac:dyDescent="0.25">
      <c r="A29">
        <v>3.30725388601036</v>
      </c>
      <c r="B29">
        <f t="shared" si="4"/>
        <v>3.8297999999999965</v>
      </c>
      <c r="C29">
        <f t="shared" si="5"/>
        <v>0.30236565878113764</v>
      </c>
      <c r="E29">
        <f>MAX($E6:E6)</f>
        <v>0</v>
      </c>
      <c r="F29">
        <f>MAX($E6:F6)</f>
        <v>2.4103375E-2</v>
      </c>
      <c r="G29">
        <f>MAX($E6:G6)</f>
        <v>0.13046188249999999</v>
      </c>
      <c r="H29">
        <f>MAX($E6:H6)</f>
        <v>0.13046188249999999</v>
      </c>
      <c r="I29">
        <f>MAX($E6:I6)</f>
        <v>0.13046188249999999</v>
      </c>
      <c r="J29">
        <f>MAX($E6:J6)</f>
        <v>0.13046188249999999</v>
      </c>
      <c r="K29">
        <f>MAX($E6:K6)</f>
        <v>0.13046188249999999</v>
      </c>
      <c r="L29">
        <f>MAX($E6:L6)</f>
        <v>0.13046188249999999</v>
      </c>
      <c r="M29">
        <f>MAX($E6:M6)</f>
        <v>0.13046188249999999</v>
      </c>
      <c r="N29">
        <f>MAX($E6:N6)</f>
        <v>0.13046188249999999</v>
      </c>
      <c r="O29">
        <f>MAX($E6:O6)</f>
        <v>0.13046188249999999</v>
      </c>
      <c r="P29">
        <f>MAX($E6:P6)</f>
        <v>0.14867949999999999</v>
      </c>
      <c r="Q29">
        <f>MAX($E6:Q6)</f>
        <v>0.40687499999999999</v>
      </c>
      <c r="R29">
        <f>MAX($E6:R6)</f>
        <v>0.40687499999999999</v>
      </c>
      <c r="S29">
        <f>MAX($E6:S6)</f>
        <v>0.40687499999999999</v>
      </c>
      <c r="T29">
        <f>MAX($E6:T6)</f>
        <v>0.40687499999999999</v>
      </c>
      <c r="U29">
        <f>MAX($E6:U6)</f>
        <v>0.40687499999999999</v>
      </c>
      <c r="V29">
        <f>MAX($E6:V6)</f>
        <v>0.40687499999999999</v>
      </c>
      <c r="W29">
        <f>MAX($E6:W6)</f>
        <v>0.40687499999999999</v>
      </c>
      <c r="X29">
        <f>MAX($E6:X6)</f>
        <v>0.40687499999999999</v>
      </c>
      <c r="Y29">
        <f>MAX($E6:Y6)</f>
        <v>0.76403500000000002</v>
      </c>
      <c r="Z29">
        <f>MAX($E6:Z6)</f>
        <v>0.78604499999999999</v>
      </c>
      <c r="AA29">
        <f>MAX($E6:AA6)</f>
        <v>0.87217250000000002</v>
      </c>
      <c r="AB29">
        <f>MAX($E6:AB6)</f>
        <v>1.3385175</v>
      </c>
      <c r="AC29">
        <f>MAX($E6:AC6)</f>
        <v>1.3385175</v>
      </c>
      <c r="AD29">
        <f>MAX($E6:AD6)</f>
        <v>1.3385175</v>
      </c>
      <c r="AE29">
        <f>MAX($E6:AE6)</f>
        <v>1.3385175</v>
      </c>
      <c r="AF29">
        <f>MAX($E6:AF6)</f>
        <v>1.4052724999999999</v>
      </c>
      <c r="AG29">
        <f>MAX($E6:AG6)</f>
        <v>1.4052724999999999</v>
      </c>
      <c r="AH29">
        <f>MAX($E6:AH6)</f>
        <v>1.4052724999999999</v>
      </c>
      <c r="AI29">
        <f>MAX($E6:AI6)</f>
        <v>1.4052724999999999</v>
      </c>
      <c r="AJ29">
        <f>MAX($E6:AJ6)</f>
        <v>1.5293775000000001</v>
      </c>
      <c r="AK29">
        <f>MAX($E6:AK6)</f>
        <v>1.543995</v>
      </c>
      <c r="AL29">
        <f>MAX($E6:AL6)</f>
        <v>1.543995</v>
      </c>
      <c r="AM29">
        <f>MAX($E6:AM6)</f>
        <v>1.5821974999999999</v>
      </c>
      <c r="AN29">
        <f>MAX($E6:AN6)</f>
        <v>1.5880725</v>
      </c>
      <c r="AO29">
        <f>MAX($E6:AO6)</f>
        <v>1.594665</v>
      </c>
      <c r="AP29">
        <f>MAX($E6:AP6)</f>
        <v>1.594665</v>
      </c>
      <c r="AQ29">
        <f>MAX($E6:AQ6)</f>
        <v>1.594665</v>
      </c>
      <c r="AR29">
        <f>MAX($E6:AR6)</f>
        <v>1.594665</v>
      </c>
      <c r="AS29">
        <f>MAX($E6:AS6)</f>
        <v>1.594665</v>
      </c>
      <c r="AT29">
        <f>MAX($E6:AT6)</f>
        <v>1.594665</v>
      </c>
      <c r="AU29">
        <f>MAX($E6:AU6)</f>
        <v>1.66781</v>
      </c>
      <c r="AV29">
        <f>MAX($E6:AV6)</f>
        <v>1.6937150000000001</v>
      </c>
      <c r="AW29">
        <f>MAX($E6:AW6)</f>
        <v>1.6987825000000001</v>
      </c>
      <c r="AX29">
        <f>MAX($E6:AX6)</f>
        <v>1.6987825000000001</v>
      </c>
      <c r="AY29">
        <f>MAX($E6:AY6)</f>
        <v>1.7084925</v>
      </c>
      <c r="AZ29">
        <f>MAX($E6:AZ6)</f>
        <v>1.7084925</v>
      </c>
      <c r="BA29">
        <f>MAX($E6:BA6)</f>
        <v>1.7798274999999999</v>
      </c>
      <c r="BB29">
        <f>MAX($E6:BB6)</f>
        <v>1.787785</v>
      </c>
      <c r="BC29">
        <f>MAX($E6:BC6)</f>
        <v>1.787785</v>
      </c>
      <c r="BD29">
        <f>MAX($E6:BD6)</f>
        <v>1.79857</v>
      </c>
      <c r="BE29">
        <f>MAX($E6:BE6)</f>
        <v>1.8086800000000001</v>
      </c>
      <c r="BF29">
        <f>MAX($E6:BF6)</f>
        <v>1.8086800000000001</v>
      </c>
      <c r="BG29">
        <f>MAX($E6:BG6)</f>
        <v>1.8086800000000001</v>
      </c>
      <c r="BH29">
        <f>MAX($E6:BH6)</f>
        <v>1.8086800000000001</v>
      </c>
    </row>
    <row r="30" spans="1:60" x14ac:dyDescent="0.25">
      <c r="A30">
        <v>3.2208981001727102</v>
      </c>
      <c r="B30">
        <f t="shared" si="4"/>
        <v>3.7297999999999982</v>
      </c>
      <c r="C30">
        <f t="shared" si="5"/>
        <v>0.31047241138935078</v>
      </c>
      <c r="E30">
        <f>MAX($E7:E7)</f>
        <v>0</v>
      </c>
      <c r="F30">
        <f>MAX($E7:F7)</f>
        <v>2.55173E-2</v>
      </c>
      <c r="G30">
        <f>MAX($E7:G7)</f>
        <v>0.13230312499999999</v>
      </c>
      <c r="H30">
        <f>MAX($E7:H7)</f>
        <v>0.13230312499999999</v>
      </c>
      <c r="I30">
        <f>MAX($E7:I7)</f>
        <v>0.13230312499999999</v>
      </c>
      <c r="J30">
        <f>MAX($E7:J7)</f>
        <v>0.13230312499999999</v>
      </c>
      <c r="K30">
        <f>MAX($E7:K7)</f>
        <v>0.13230312499999999</v>
      </c>
      <c r="L30">
        <f>MAX($E7:L7)</f>
        <v>0.13230312499999999</v>
      </c>
      <c r="M30">
        <f>MAX($E7:M7)</f>
        <v>0.13230312499999999</v>
      </c>
      <c r="N30">
        <f>MAX($E7:N7)</f>
        <v>0.13230312499999999</v>
      </c>
      <c r="O30">
        <f>MAX($E7:O7)</f>
        <v>0.13230312499999999</v>
      </c>
      <c r="P30">
        <f>MAX($E7:P7)</f>
        <v>0.14815300000000001</v>
      </c>
      <c r="Q30">
        <f>MAX($E7:Q7)</f>
        <v>0.39542500000000003</v>
      </c>
      <c r="R30">
        <f>MAX($E7:R7)</f>
        <v>0.39542500000000003</v>
      </c>
      <c r="S30">
        <f>MAX($E7:S7)</f>
        <v>0.39542500000000003</v>
      </c>
      <c r="T30">
        <f>MAX($E7:T7)</f>
        <v>0.39542500000000003</v>
      </c>
      <c r="U30">
        <f>MAX($E7:U7)</f>
        <v>0.39542500000000003</v>
      </c>
      <c r="V30">
        <f>MAX($E7:V7)</f>
        <v>0.39542500000000003</v>
      </c>
      <c r="W30">
        <f>MAX($E7:W7)</f>
        <v>0.39542500000000003</v>
      </c>
      <c r="X30">
        <f>MAX($E7:X7)</f>
        <v>0.39542500000000003</v>
      </c>
      <c r="Y30">
        <f>MAX($E7:Y7)</f>
        <v>0.74409749999999997</v>
      </c>
      <c r="Z30">
        <f>MAX($E7:Z7)</f>
        <v>0.76588999999999996</v>
      </c>
      <c r="AA30">
        <f>MAX($E7:AA7)</f>
        <v>0.84789250000000005</v>
      </c>
      <c r="AB30">
        <f>MAX($E7:AB7)</f>
        <v>1.4183874999999999</v>
      </c>
      <c r="AC30">
        <f>MAX($E7:AC7)</f>
        <v>1.4183874999999999</v>
      </c>
      <c r="AD30">
        <f>MAX($E7:AD7)</f>
        <v>1.4183874999999999</v>
      </c>
      <c r="AE30">
        <f>MAX($E7:AE7)</f>
        <v>1.4183874999999999</v>
      </c>
      <c r="AF30">
        <f>MAX($E7:AF7)</f>
        <v>1.5229200000000001</v>
      </c>
      <c r="AG30">
        <f>MAX($E7:AG7)</f>
        <v>1.5229200000000001</v>
      </c>
      <c r="AH30">
        <f>MAX($E7:AH7)</f>
        <v>1.5229200000000001</v>
      </c>
      <c r="AI30">
        <f>MAX($E7:AI7)</f>
        <v>1.5229200000000001</v>
      </c>
      <c r="AJ30">
        <f>MAX($E7:AJ7)</f>
        <v>1.6448525000000001</v>
      </c>
      <c r="AK30">
        <f>MAX($E7:AK7)</f>
        <v>1.65821</v>
      </c>
      <c r="AL30">
        <f>MAX($E7:AL7)</f>
        <v>1.65821</v>
      </c>
      <c r="AM30">
        <f>MAX($E7:AM7)</f>
        <v>1.6968325</v>
      </c>
      <c r="AN30">
        <f>MAX($E7:AN7)</f>
        <v>1.6968325</v>
      </c>
      <c r="AO30">
        <f>MAX($E7:AO7)</f>
        <v>1.7041200000000001</v>
      </c>
      <c r="AP30">
        <f>MAX($E7:AP7)</f>
        <v>1.7041200000000001</v>
      </c>
      <c r="AQ30">
        <f>MAX($E7:AQ7)</f>
        <v>1.7041200000000001</v>
      </c>
      <c r="AR30">
        <f>MAX($E7:AR7)</f>
        <v>1.7041200000000001</v>
      </c>
      <c r="AS30">
        <f>MAX($E7:AS7)</f>
        <v>1.7041200000000001</v>
      </c>
      <c r="AT30">
        <f>MAX($E7:AT7)</f>
        <v>1.7041200000000001</v>
      </c>
      <c r="AU30">
        <f>MAX($E7:AU7)</f>
        <v>1.7914300000000001</v>
      </c>
      <c r="AV30">
        <f>MAX($E7:AV7)</f>
        <v>1.8077375</v>
      </c>
      <c r="AW30">
        <f>MAX($E7:AW7)</f>
        <v>1.8108925</v>
      </c>
      <c r="AX30">
        <f>MAX($E7:AX7)</f>
        <v>1.8108925</v>
      </c>
      <c r="AY30">
        <f>MAX($E7:AY7)</f>
        <v>1.8231299999999999</v>
      </c>
      <c r="AZ30">
        <f>MAX($E7:AZ7)</f>
        <v>1.8231299999999999</v>
      </c>
      <c r="BA30">
        <f>MAX($E7:BA7)</f>
        <v>1.8884775</v>
      </c>
      <c r="BB30">
        <f>MAX($E7:BB7)</f>
        <v>1.8985924999999999</v>
      </c>
      <c r="BC30">
        <f>MAX($E7:BC7)</f>
        <v>1.8985924999999999</v>
      </c>
      <c r="BD30">
        <f>MAX($E7:BD7)</f>
        <v>1.90635</v>
      </c>
      <c r="BE30">
        <f>MAX($E7:BE7)</f>
        <v>1.9143675</v>
      </c>
      <c r="BF30">
        <f>MAX($E7:BF7)</f>
        <v>1.9170925000000001</v>
      </c>
      <c r="BG30">
        <f>MAX($E7:BG7)</f>
        <v>1.9170925000000001</v>
      </c>
      <c r="BH30">
        <f>MAX($E7:BH7)</f>
        <v>1.9170925000000001</v>
      </c>
    </row>
    <row r="31" spans="1:60" x14ac:dyDescent="0.25">
      <c r="A31">
        <v>3.1345423143350599</v>
      </c>
      <c r="B31">
        <f t="shared" si="4"/>
        <v>3.629799999999999</v>
      </c>
      <c r="C31">
        <f t="shared" si="5"/>
        <v>0.31902584164416775</v>
      </c>
      <c r="E31">
        <f>MAX($E8:E8)</f>
        <v>0</v>
      </c>
      <c r="F31">
        <f>MAX($E8:F8)</f>
        <v>2.10364E-2</v>
      </c>
      <c r="G31">
        <f>MAX($E8:G8)</f>
        <v>0.13178857499999999</v>
      </c>
      <c r="H31">
        <f>MAX($E8:H8)</f>
        <v>0.13178857499999999</v>
      </c>
      <c r="I31">
        <f>MAX($E8:I8)</f>
        <v>0.13178857499999999</v>
      </c>
      <c r="J31">
        <f>MAX($E8:J8)</f>
        <v>0.13178857499999999</v>
      </c>
      <c r="K31">
        <f>MAX($E8:K8)</f>
        <v>0.13178857499999999</v>
      </c>
      <c r="L31">
        <f>MAX($E8:L8)</f>
        <v>0.13178857499999999</v>
      </c>
      <c r="M31">
        <f>MAX($E8:M8)</f>
        <v>0.13178857499999999</v>
      </c>
      <c r="N31">
        <f>MAX($E8:N8)</f>
        <v>0.13178857499999999</v>
      </c>
      <c r="O31">
        <f>MAX($E8:O8)</f>
        <v>0.13178857499999999</v>
      </c>
      <c r="P31">
        <f>MAX($E8:P8)</f>
        <v>0.148563</v>
      </c>
      <c r="Q31">
        <f>MAX($E8:Q8)</f>
        <v>0.26524500000000001</v>
      </c>
      <c r="R31">
        <f>MAX($E8:R8)</f>
        <v>0.26524500000000001</v>
      </c>
      <c r="S31">
        <f>MAX($E8:S8)</f>
        <v>0.26524500000000001</v>
      </c>
      <c r="T31">
        <f>MAX($E8:T8)</f>
        <v>0.26524500000000001</v>
      </c>
      <c r="U31">
        <f>MAX($E8:U8)</f>
        <v>0.26524500000000001</v>
      </c>
      <c r="V31">
        <f>MAX($E8:V8)</f>
        <v>0.26524500000000001</v>
      </c>
      <c r="W31">
        <f>MAX($E8:W8)</f>
        <v>0.26524500000000001</v>
      </c>
      <c r="X31">
        <f>MAX($E8:X8)</f>
        <v>0.26524500000000001</v>
      </c>
      <c r="Y31">
        <f>MAX($E8:Y8)</f>
        <v>0.4881625</v>
      </c>
      <c r="Z31">
        <f>MAX($E8:Z8)</f>
        <v>0.50990666666666695</v>
      </c>
      <c r="AA31">
        <f>MAX($E8:AA8)</f>
        <v>0.58625416666666597</v>
      </c>
      <c r="AB31">
        <f>MAX($E8:AB8)</f>
        <v>1.128355</v>
      </c>
      <c r="AC31">
        <f>MAX($E8:AC8)</f>
        <v>1.128355</v>
      </c>
      <c r="AD31">
        <f>MAX($E8:AD8)</f>
        <v>1.128355</v>
      </c>
      <c r="AE31">
        <f>MAX($E8:AE8)</f>
        <v>1.128355</v>
      </c>
      <c r="AF31">
        <f>MAX($E8:AF8)</f>
        <v>1.2522933333333299</v>
      </c>
      <c r="AG31">
        <f>MAX($E8:AG8)</f>
        <v>1.2522933333333299</v>
      </c>
      <c r="AH31">
        <f>MAX($E8:AH8)</f>
        <v>1.2522933333333299</v>
      </c>
      <c r="AI31">
        <f>MAX($E8:AI8)</f>
        <v>1.2522933333333299</v>
      </c>
      <c r="AJ31">
        <f>MAX($E8:AJ8)</f>
        <v>1.39204166666667</v>
      </c>
      <c r="AK31">
        <f>MAX($E8:AK8)</f>
        <v>1.404175</v>
      </c>
      <c r="AL31">
        <f>MAX($E8:AL8)</f>
        <v>1.404175</v>
      </c>
      <c r="AM31">
        <f>MAX($E8:AM8)</f>
        <v>1.4407316666666701</v>
      </c>
      <c r="AN31">
        <f>MAX($E8:AN8)</f>
        <v>1.4407316666666701</v>
      </c>
      <c r="AO31">
        <f>MAX($E8:AO8)</f>
        <v>1.4475991666666701</v>
      </c>
      <c r="AP31">
        <f>MAX($E8:AP8)</f>
        <v>1.4475991666666701</v>
      </c>
      <c r="AQ31">
        <f>MAX($E8:AQ8)</f>
        <v>1.4475991666666701</v>
      </c>
      <c r="AR31">
        <f>MAX($E8:AR8)</f>
        <v>1.4475991666666701</v>
      </c>
      <c r="AS31">
        <f>MAX($E8:AS8)</f>
        <v>1.4475991666666701</v>
      </c>
      <c r="AT31">
        <f>MAX($E8:AT8)</f>
        <v>1.4475991666666701</v>
      </c>
      <c r="AU31">
        <f>MAX($E8:AU8)</f>
        <v>1.5243608333333301</v>
      </c>
      <c r="AV31">
        <f>MAX($E8:AV8)</f>
        <v>1.5344441666666699</v>
      </c>
      <c r="AW31">
        <f>MAX($E8:AW8)</f>
        <v>1.5356983333333301</v>
      </c>
      <c r="AX31">
        <f>MAX($E8:AX8)</f>
        <v>1.5356983333333301</v>
      </c>
      <c r="AY31">
        <f>MAX($E8:AY8)</f>
        <v>1.5452075000000001</v>
      </c>
      <c r="AZ31">
        <f>MAX($E8:AZ8)</f>
        <v>1.54715333333333</v>
      </c>
      <c r="BA31">
        <f>MAX($E8:BA8)</f>
        <v>1.59987833333333</v>
      </c>
      <c r="BB31">
        <f>MAX($E8:BB8)</f>
        <v>1.6092725000000001</v>
      </c>
      <c r="BC31">
        <f>MAX($E8:BC8)</f>
        <v>1.6092725000000001</v>
      </c>
      <c r="BD31">
        <f>MAX($E8:BD8)</f>
        <v>1.62220083333333</v>
      </c>
      <c r="BE31">
        <f>MAX($E8:BE8)</f>
        <v>1.6302591666666699</v>
      </c>
      <c r="BF31">
        <f>MAX($E8:BF8)</f>
        <v>1.6414025000000001</v>
      </c>
      <c r="BG31">
        <f>MAX($E8:BG8)</f>
        <v>1.6414025000000001</v>
      </c>
      <c r="BH31">
        <f>MAX($E8:BH8)</f>
        <v>1.6414025000000001</v>
      </c>
    </row>
    <row r="32" spans="1:60" x14ac:dyDescent="0.25">
      <c r="A32">
        <v>3.0481865284974101</v>
      </c>
      <c r="B32">
        <f t="shared" si="4"/>
        <v>3.5298000000000007</v>
      </c>
      <c r="C32">
        <f t="shared" si="5"/>
        <v>0.32806391296957327</v>
      </c>
      <c r="E32">
        <f>MAX($E9:E9)</f>
        <v>0</v>
      </c>
      <c r="F32">
        <f>MAX($E9:F9)</f>
        <v>2.4763050000000002E-2</v>
      </c>
      <c r="G32">
        <f>MAX($E9:G9)</f>
        <v>0.136351</v>
      </c>
      <c r="H32">
        <f>MAX($E9:H9)</f>
        <v>0.136351</v>
      </c>
      <c r="I32">
        <f>MAX($E9:I9)</f>
        <v>0.136351</v>
      </c>
      <c r="J32">
        <f>MAX($E9:J9)</f>
        <v>0.136351</v>
      </c>
      <c r="K32">
        <f>MAX($E9:K9)</f>
        <v>0.136351</v>
      </c>
      <c r="L32">
        <f>MAX($E9:L9)</f>
        <v>0.136351</v>
      </c>
      <c r="M32">
        <f>MAX($E9:M9)</f>
        <v>0.136351</v>
      </c>
      <c r="N32">
        <f>MAX($E9:N9)</f>
        <v>0.136351</v>
      </c>
      <c r="O32">
        <f>MAX($E9:O9)</f>
        <v>0.136351</v>
      </c>
      <c r="P32">
        <f>MAX($E9:P9)</f>
        <v>0.15545975000000001</v>
      </c>
      <c r="Q32">
        <f>MAX($E9:Q9)</f>
        <v>0.15545975000000001</v>
      </c>
      <c r="R32">
        <f>MAX($E9:R9)</f>
        <v>0.15545975000000001</v>
      </c>
      <c r="S32">
        <f>MAX($E9:S9)</f>
        <v>0.15545975000000001</v>
      </c>
      <c r="T32">
        <f>MAX($E9:T9)</f>
        <v>0.15545975000000001</v>
      </c>
      <c r="U32">
        <f>MAX($E9:U9)</f>
        <v>0.15545975000000001</v>
      </c>
      <c r="V32">
        <f>MAX($E9:V9)</f>
        <v>0.15545975000000001</v>
      </c>
      <c r="W32">
        <f>MAX($E9:W9)</f>
        <v>0.15545975000000001</v>
      </c>
      <c r="X32">
        <f>MAX($E9:X9)</f>
        <v>0.17622499999999999</v>
      </c>
      <c r="Y32">
        <f>MAX($E9:Y9)</f>
        <v>0.32374999999999998</v>
      </c>
      <c r="Z32">
        <f>MAX($E9:Z9)</f>
        <v>0.34668000000000099</v>
      </c>
      <c r="AA32">
        <f>MAX($E9:AA9)</f>
        <v>0.41790250000000001</v>
      </c>
      <c r="AB32">
        <f>MAX($E9:AB9)</f>
        <v>0.95321250000000002</v>
      </c>
      <c r="AC32">
        <f>MAX($E9:AC9)</f>
        <v>0.95321250000000002</v>
      </c>
      <c r="AD32">
        <f>MAX($E9:AD9)</f>
        <v>0.95321250000000002</v>
      </c>
      <c r="AE32">
        <f>MAX($E9:AE9)</f>
        <v>0.95321250000000002</v>
      </c>
      <c r="AF32">
        <f>MAX($E9:AF9)</f>
        <v>1.2012350000000001</v>
      </c>
      <c r="AG32">
        <f>MAX($E9:AG9)</f>
        <v>1.2012350000000001</v>
      </c>
      <c r="AH32">
        <f>MAX($E9:AH9)</f>
        <v>1.2012350000000001</v>
      </c>
      <c r="AI32">
        <f>MAX($E9:AI9)</f>
        <v>1.2454225000000001</v>
      </c>
      <c r="AJ32">
        <f>MAX($E9:AJ9)</f>
        <v>1.4198249999999999</v>
      </c>
      <c r="AK32">
        <f>MAX($E9:AK9)</f>
        <v>1.4299075000000001</v>
      </c>
      <c r="AL32">
        <f>MAX($E9:AL9)</f>
        <v>1.4299075000000001</v>
      </c>
      <c r="AM32">
        <f>MAX($E9:AM9)</f>
        <v>1.472955</v>
      </c>
      <c r="AN32">
        <f>MAX($E9:AN9)</f>
        <v>1.472955</v>
      </c>
      <c r="AO32">
        <f>MAX($E9:AO9)</f>
        <v>1.4743225</v>
      </c>
      <c r="AP32">
        <f>MAX($E9:AP9)</f>
        <v>1.4743225</v>
      </c>
      <c r="AQ32">
        <f>MAX($E9:AQ9)</f>
        <v>1.4743225</v>
      </c>
      <c r="AR32">
        <f>MAX($E9:AR9)</f>
        <v>1.4743225</v>
      </c>
      <c r="AS32">
        <f>MAX($E9:AS9)</f>
        <v>1.4743225</v>
      </c>
      <c r="AT32">
        <f>MAX($E9:AT9)</f>
        <v>1.4743225</v>
      </c>
      <c r="AU32">
        <f>MAX($E9:AU9)</f>
        <v>1.57047</v>
      </c>
      <c r="AV32">
        <f>MAX($E9:AV9)</f>
        <v>1.5708575</v>
      </c>
      <c r="AW32">
        <f>MAX($E9:AW9)</f>
        <v>1.5723374999999999</v>
      </c>
      <c r="AX32">
        <f>MAX($E9:AX9)</f>
        <v>1.5723374999999999</v>
      </c>
      <c r="AY32">
        <f>MAX($E9:AY9)</f>
        <v>1.57622</v>
      </c>
      <c r="AZ32">
        <f>MAX($E9:AZ9)</f>
        <v>1.5833675</v>
      </c>
      <c r="BA32">
        <f>MAX($E9:BA9)</f>
        <v>1.6419649999999999</v>
      </c>
      <c r="BB32">
        <f>MAX($E9:BB9)</f>
        <v>1.6488449999999999</v>
      </c>
      <c r="BC32">
        <f>MAX($E9:BC9)</f>
        <v>1.6488449999999999</v>
      </c>
      <c r="BD32">
        <f>MAX($E9:BD9)</f>
        <v>1.6828025</v>
      </c>
      <c r="BE32">
        <f>MAX($E9:BE9)</f>
        <v>1.7002675</v>
      </c>
      <c r="BF32">
        <f>MAX($E9:BF9)</f>
        <v>1.7157275000000001</v>
      </c>
      <c r="BG32">
        <f>MAX($E9:BG9)</f>
        <v>1.7157275000000001</v>
      </c>
      <c r="BH32">
        <f>MAX($E9:BH9)</f>
        <v>1.7157275000000001</v>
      </c>
    </row>
    <row r="33" spans="1:61" x14ac:dyDescent="0.25">
      <c r="A33">
        <v>2.9618307426597599</v>
      </c>
      <c r="B33">
        <f t="shared" si="4"/>
        <v>3.4298000000000015</v>
      </c>
      <c r="C33">
        <f t="shared" si="5"/>
        <v>0.33762901626917002</v>
      </c>
      <c r="E33">
        <f>MAX($E10:E10)</f>
        <v>0</v>
      </c>
      <c r="F33">
        <f>MAX($E10:F10)</f>
        <v>2.3636575E-2</v>
      </c>
      <c r="G33">
        <f>MAX($E10:G10)</f>
        <v>0.13995727499999999</v>
      </c>
      <c r="H33">
        <f>MAX($E10:H10)</f>
        <v>0.13995727499999999</v>
      </c>
      <c r="I33">
        <f>MAX($E10:I10)</f>
        <v>0.13995727499999999</v>
      </c>
      <c r="J33">
        <f>MAX($E10:J10)</f>
        <v>0.13995727499999999</v>
      </c>
      <c r="K33">
        <f>MAX($E10:K10)</f>
        <v>0.13995727499999999</v>
      </c>
      <c r="L33">
        <f>MAX($E10:L10)</f>
        <v>0.13995727499999999</v>
      </c>
      <c r="M33">
        <f>MAX($E10:M10)</f>
        <v>0.13995727499999999</v>
      </c>
      <c r="N33">
        <f>MAX($E10:N10)</f>
        <v>0.13995727499999999</v>
      </c>
      <c r="O33">
        <f>MAX($E10:O10)</f>
        <v>0.13995727499999999</v>
      </c>
      <c r="P33">
        <f>MAX($E10:P10)</f>
        <v>0.16271725000000001</v>
      </c>
      <c r="Q33">
        <f>MAX($E10:Q10)</f>
        <v>0.16271725000000001</v>
      </c>
      <c r="R33">
        <f>MAX($E10:R10)</f>
        <v>0.16271725000000001</v>
      </c>
      <c r="S33">
        <f>MAX($E10:S10)</f>
        <v>0.16271725000000001</v>
      </c>
      <c r="T33">
        <f>MAX($E10:T10)</f>
        <v>0.16271725000000001</v>
      </c>
      <c r="U33">
        <f>MAX($E10:U10)</f>
        <v>0.16271725000000001</v>
      </c>
      <c r="V33">
        <f>MAX($E10:V10)</f>
        <v>0.16271725000000001</v>
      </c>
      <c r="W33">
        <f>MAX($E10:W10)</f>
        <v>0.16271725000000001</v>
      </c>
      <c r="X33">
        <f>MAX($E10:X10)</f>
        <v>0.17552499999999999</v>
      </c>
      <c r="Y33">
        <f>MAX($E10:Y10)</f>
        <v>0.31068000000000001</v>
      </c>
      <c r="Z33">
        <f>MAX($E10:Z10)</f>
        <v>0.33374999999999999</v>
      </c>
      <c r="AA33">
        <f>MAX($E10:AA10)</f>
        <v>0.39585500000000001</v>
      </c>
      <c r="AB33">
        <f>MAX($E10:AB10)</f>
        <v>0.93964749999999997</v>
      </c>
      <c r="AC33">
        <f>MAX($E10:AC10)</f>
        <v>0.93964749999999997</v>
      </c>
      <c r="AD33">
        <f>MAX($E10:AD10)</f>
        <v>0.93964749999999997</v>
      </c>
      <c r="AE33">
        <f>MAX($E10:AE10)</f>
        <v>0.93964749999999997</v>
      </c>
      <c r="AF33">
        <f>MAX($E10:AF10)</f>
        <v>1.1805275</v>
      </c>
      <c r="AG33">
        <f>MAX($E10:AG10)</f>
        <v>1.1805275</v>
      </c>
      <c r="AH33">
        <f>MAX($E10:AH10)</f>
        <v>1.1805275</v>
      </c>
      <c r="AI33">
        <f>MAX($E10:AI10)</f>
        <v>1.24539</v>
      </c>
      <c r="AJ33">
        <f>MAX($E10:AJ10)</f>
        <v>1.4414825</v>
      </c>
      <c r="AK33">
        <f>MAX($E10:AK10)</f>
        <v>1.4466650000000001</v>
      </c>
      <c r="AL33">
        <f>MAX($E10:AL10)</f>
        <v>1.4466650000000001</v>
      </c>
      <c r="AM33">
        <f>MAX($E10:AM10)</f>
        <v>1.5062599999999999</v>
      </c>
      <c r="AN33">
        <f>MAX($E10:AN10)</f>
        <v>1.5062599999999999</v>
      </c>
      <c r="AO33">
        <f>MAX($E10:AO10)</f>
        <v>1.5062599999999999</v>
      </c>
      <c r="AP33">
        <f>MAX($E10:AP10)</f>
        <v>1.5062599999999999</v>
      </c>
      <c r="AQ33">
        <f>MAX($E10:AQ10)</f>
        <v>1.5062599999999999</v>
      </c>
      <c r="AR33">
        <f>MAX($E10:AR10)</f>
        <v>1.5062599999999999</v>
      </c>
      <c r="AS33">
        <f>MAX($E10:AS10)</f>
        <v>1.5062599999999999</v>
      </c>
      <c r="AT33">
        <f>MAX($E10:AT10)</f>
        <v>1.5062599999999999</v>
      </c>
      <c r="AU33">
        <f>MAX($E10:AU10)</f>
        <v>1.6174325000000001</v>
      </c>
      <c r="AV33">
        <f>MAX($E10:AV10)</f>
        <v>1.6174325000000001</v>
      </c>
      <c r="AW33">
        <f>MAX($E10:AW10)</f>
        <v>1.6174325000000001</v>
      </c>
      <c r="AX33">
        <f>MAX($E10:AX10)</f>
        <v>1.6174325000000001</v>
      </c>
      <c r="AY33">
        <f>MAX($E10:AY10)</f>
        <v>1.6174325000000001</v>
      </c>
      <c r="AZ33">
        <f>MAX($E10:AZ10)</f>
        <v>1.6218475000000001</v>
      </c>
      <c r="BA33">
        <f>MAX($E10:BA10)</f>
        <v>1.6269733333333301</v>
      </c>
      <c r="BB33">
        <f>MAX($E10:BB10)</f>
        <v>1.63190416666667</v>
      </c>
      <c r="BC33">
        <f>MAX($E10:BC10)</f>
        <v>1.63190416666667</v>
      </c>
      <c r="BD33">
        <f>MAX($E10:BD10)</f>
        <v>1.66537166666667</v>
      </c>
      <c r="BE33">
        <f>MAX($E10:BE10)</f>
        <v>1.68587666666667</v>
      </c>
      <c r="BF33">
        <f>MAX($E10:BF10)</f>
        <v>1.6996233333333299</v>
      </c>
      <c r="BG33">
        <f>MAX($E10:BG10)</f>
        <v>1.6996233333333299</v>
      </c>
      <c r="BH33">
        <f>MAX($E10:BH10)</f>
        <v>1.6996233333333299</v>
      </c>
    </row>
    <row r="34" spans="1:61" x14ac:dyDescent="0.25">
      <c r="A34">
        <v>2.8754749568221101</v>
      </c>
      <c r="B34">
        <f t="shared" si="4"/>
        <v>3.3298000000000032</v>
      </c>
      <c r="C34">
        <f t="shared" si="5"/>
        <v>0.34776863475283765</v>
      </c>
      <c r="E34">
        <f>MAX($E11:E11)</f>
        <v>0</v>
      </c>
      <c r="F34">
        <f>MAX($E11:F11)</f>
        <v>2.1477125E-2</v>
      </c>
      <c r="G34">
        <f>MAX($E11:G11)</f>
        <v>0.13576740000000001</v>
      </c>
      <c r="H34">
        <f>MAX($E11:H11)</f>
        <v>0.13576740000000001</v>
      </c>
      <c r="I34">
        <f>MAX($E11:I11)</f>
        <v>0.13576740000000001</v>
      </c>
      <c r="J34">
        <f>MAX($E11:J11)</f>
        <v>0.13576740000000001</v>
      </c>
      <c r="K34">
        <f>MAX($E11:K11)</f>
        <v>0.13576740000000001</v>
      </c>
      <c r="L34">
        <f>MAX($E11:L11)</f>
        <v>0.13576740000000001</v>
      </c>
      <c r="M34">
        <f>MAX($E11:M11)</f>
        <v>0.13576740000000001</v>
      </c>
      <c r="N34">
        <f>MAX($E11:N11)</f>
        <v>0.13576740000000001</v>
      </c>
      <c r="O34">
        <f>MAX($E11:O11)</f>
        <v>0.13576740000000001</v>
      </c>
      <c r="P34">
        <f>MAX($E11:P11)</f>
        <v>0.16480624999999999</v>
      </c>
      <c r="Q34">
        <f>MAX($E11:Q11)</f>
        <v>0.16480624999999999</v>
      </c>
      <c r="R34">
        <f>MAX($E11:R11)</f>
        <v>0.16480624999999999</v>
      </c>
      <c r="S34">
        <f>MAX($E11:S11)</f>
        <v>0.16480624999999999</v>
      </c>
      <c r="T34">
        <f>MAX($E11:T11)</f>
        <v>0.16480624999999999</v>
      </c>
      <c r="U34">
        <f>MAX($E11:U11)</f>
        <v>0.16480624999999999</v>
      </c>
      <c r="V34">
        <f>MAX($E11:V11)</f>
        <v>0.16480624999999999</v>
      </c>
      <c r="W34">
        <f>MAX($E11:W11)</f>
        <v>0.16480624999999999</v>
      </c>
      <c r="X34">
        <f>MAX($E11:X11)</f>
        <v>0.17356750000000001</v>
      </c>
      <c r="Y34">
        <f>MAX($E11:Y11)</f>
        <v>0.17356750000000001</v>
      </c>
      <c r="Z34">
        <f>MAX($E11:Z11)</f>
        <v>0.17356750000000001</v>
      </c>
      <c r="AA34">
        <f>MAX($E11:AA11)</f>
        <v>0.17646249999999999</v>
      </c>
      <c r="AB34">
        <f>MAX($E11:AB11)</f>
        <v>0.70078499999999999</v>
      </c>
      <c r="AC34">
        <f>MAX($E11:AC11)</f>
        <v>0.70078499999999999</v>
      </c>
      <c r="AD34">
        <f>MAX($E11:AD11)</f>
        <v>0.70078499999999999</v>
      </c>
      <c r="AE34">
        <f>MAX($E11:AE11)</f>
        <v>0.70078499999999999</v>
      </c>
      <c r="AF34">
        <f>MAX($E11:AF11)</f>
        <v>0.95174999999999998</v>
      </c>
      <c r="AG34">
        <f>MAX($E11:AG11)</f>
        <v>0.95174999999999998</v>
      </c>
      <c r="AH34">
        <f>MAX($E11:AH11)</f>
        <v>0.95215249999999996</v>
      </c>
      <c r="AI34">
        <f>MAX($E11:AI11)</f>
        <v>1.1009724999999999</v>
      </c>
      <c r="AJ34">
        <f>MAX($E11:AJ11)</f>
        <v>1.3194408333333301</v>
      </c>
      <c r="AK34">
        <f>MAX($E11:AK11)</f>
        <v>1.32840333333333</v>
      </c>
      <c r="AL34">
        <f>MAX($E11:AL11)</f>
        <v>1.32840333333333</v>
      </c>
      <c r="AM34">
        <f>MAX($E11:AM11)</f>
        <v>1.4081908333333299</v>
      </c>
      <c r="AN34">
        <f>MAX($E11:AN11)</f>
        <v>1.4081908333333299</v>
      </c>
      <c r="AO34">
        <f>MAX($E11:AO11)</f>
        <v>1.4087825</v>
      </c>
      <c r="AP34">
        <f>MAX($E11:AP11)</f>
        <v>1.4087825</v>
      </c>
      <c r="AQ34">
        <f>MAX($E11:AQ11)</f>
        <v>1.4087825</v>
      </c>
      <c r="AR34">
        <f>MAX($E11:AR11)</f>
        <v>1.4087825</v>
      </c>
      <c r="AS34">
        <f>MAX($E11:AS11)</f>
        <v>1.4087825</v>
      </c>
      <c r="AT34">
        <f>MAX($E11:AT11)</f>
        <v>1.4087825</v>
      </c>
      <c r="AU34">
        <f>MAX($E11:AU11)</f>
        <v>1.5362074999999999</v>
      </c>
      <c r="AV34">
        <f>MAX($E11:AV11)</f>
        <v>1.5362074999999999</v>
      </c>
      <c r="AW34">
        <f>MAX($E11:AW11)</f>
        <v>1.5362074999999999</v>
      </c>
      <c r="AX34">
        <f>MAX($E11:AX11)</f>
        <v>1.5362074999999999</v>
      </c>
      <c r="AY34">
        <f>MAX($E11:AY11)</f>
        <v>1.5362074999999999</v>
      </c>
      <c r="AZ34">
        <f>MAX($E11:AZ11)</f>
        <v>1.5362074999999999</v>
      </c>
      <c r="BA34">
        <f>MAX($E11:BA11)</f>
        <v>1.59687</v>
      </c>
      <c r="BB34">
        <f>MAX($E11:BB11)</f>
        <v>1.59842333333333</v>
      </c>
      <c r="BC34">
        <f>MAX($E11:BC11)</f>
        <v>1.59842333333333</v>
      </c>
      <c r="BD34">
        <f>MAX($E11:BD11)</f>
        <v>1.6421666666666701</v>
      </c>
      <c r="BE34">
        <f>MAX($E11:BE11)</f>
        <v>1.67272333333333</v>
      </c>
      <c r="BF34">
        <f>MAX($E11:BF11)</f>
        <v>1.69400666666667</v>
      </c>
      <c r="BG34">
        <f>MAX($E11:BG11)</f>
        <v>1.69400666666667</v>
      </c>
      <c r="BH34">
        <f>MAX($E11:BH11)</f>
        <v>1.8312933333333301</v>
      </c>
    </row>
    <row r="35" spans="1:61" x14ac:dyDescent="0.25">
      <c r="A35">
        <v>2.7891191709844598</v>
      </c>
      <c r="B35">
        <f t="shared" si="4"/>
        <v>3.2298000000000044</v>
      </c>
      <c r="C35">
        <f t="shared" si="5"/>
        <v>0.35853613226825143</v>
      </c>
      <c r="E35">
        <f>MAX($E12:E12)</f>
        <v>0</v>
      </c>
      <c r="F35">
        <f>MAX($E12:F12)</f>
        <v>1.6847424999999999E-2</v>
      </c>
      <c r="G35">
        <f>MAX($E12:G12)</f>
        <v>0.12990252499999999</v>
      </c>
      <c r="H35">
        <f>MAX($E12:H12)</f>
        <v>0.12990252499999999</v>
      </c>
      <c r="I35">
        <f>MAX($E12:I12)</f>
        <v>0.12990252499999999</v>
      </c>
      <c r="J35">
        <f>MAX($E12:J12)</f>
        <v>0.12990252499999999</v>
      </c>
      <c r="K35">
        <f>MAX($E12:K12)</f>
        <v>0.12990252499999999</v>
      </c>
      <c r="L35">
        <f>MAX($E12:L12)</f>
        <v>0.12990252499999999</v>
      </c>
      <c r="M35">
        <f>MAX($E12:M12)</f>
        <v>0.12990252499999999</v>
      </c>
      <c r="N35">
        <f>MAX($E12:N12)</f>
        <v>0.12990252499999999</v>
      </c>
      <c r="O35">
        <f>MAX($E12:O12)</f>
        <v>0.12990252499999999</v>
      </c>
      <c r="P35">
        <f>MAX($E12:P12)</f>
        <v>0.16318299999999999</v>
      </c>
      <c r="Q35">
        <f>MAX($E12:Q12)</f>
        <v>0.16318299999999999</v>
      </c>
      <c r="R35">
        <f>MAX($E12:R12)</f>
        <v>0.16318299999999999</v>
      </c>
      <c r="S35">
        <f>MAX($E12:S12)</f>
        <v>0.16318299999999999</v>
      </c>
      <c r="T35">
        <f>MAX($E12:T12)</f>
        <v>0.16318299999999999</v>
      </c>
      <c r="U35">
        <f>MAX($E12:U12)</f>
        <v>0.16318299999999999</v>
      </c>
      <c r="V35">
        <f>MAX($E12:V12)</f>
        <v>0.16318299999999999</v>
      </c>
      <c r="W35">
        <f>MAX($E12:W12)</f>
        <v>0.16318299999999999</v>
      </c>
      <c r="X35">
        <f>MAX($E12:X12)</f>
        <v>0.17027500000000001</v>
      </c>
      <c r="Y35">
        <f>MAX($E12:Y12)</f>
        <v>0.17027500000000001</v>
      </c>
      <c r="Z35">
        <f>MAX($E12:Z12)</f>
        <v>0.17027500000000001</v>
      </c>
      <c r="AA35">
        <f>MAX($E12:AA12)</f>
        <v>0.17027500000000001</v>
      </c>
      <c r="AB35">
        <f>MAX($E12:AB12)</f>
        <v>0.48000749999999998</v>
      </c>
      <c r="AC35">
        <f>MAX($E12:AC12)</f>
        <v>0.48000749999999998</v>
      </c>
      <c r="AD35">
        <f>MAX($E12:AD12)</f>
        <v>0.48000749999999998</v>
      </c>
      <c r="AE35">
        <f>MAX($E12:AE12)</f>
        <v>0.48000749999999998</v>
      </c>
      <c r="AF35">
        <f>MAX($E12:AF12)</f>
        <v>0.71362749999999997</v>
      </c>
      <c r="AG35">
        <f>MAX($E12:AG12)</f>
        <v>0.71422249999999998</v>
      </c>
      <c r="AH35">
        <f>MAX($E12:AH12)</f>
        <v>0.71806250000000005</v>
      </c>
      <c r="AI35">
        <f>MAX($E12:AI12)</f>
        <v>0.86772249999999995</v>
      </c>
      <c r="AJ35">
        <f>MAX($E12:AJ12)</f>
        <v>1.115885</v>
      </c>
      <c r="AK35">
        <f>MAX($E12:AK12)</f>
        <v>1.1218399999999999</v>
      </c>
      <c r="AL35">
        <f>MAX($E12:AL12)</f>
        <v>1.1218399999999999</v>
      </c>
      <c r="AM35">
        <f>MAX($E12:AM12)</f>
        <v>1.20086</v>
      </c>
      <c r="AN35">
        <f>MAX($E12:AN12)</f>
        <v>1.20086</v>
      </c>
      <c r="AO35">
        <f>MAX($E12:AO12)</f>
        <v>1.20086</v>
      </c>
      <c r="AP35">
        <f>MAX($E12:AP12)</f>
        <v>1.20086</v>
      </c>
      <c r="AQ35">
        <f>MAX($E12:AQ12)</f>
        <v>1.20086</v>
      </c>
      <c r="AR35">
        <f>MAX($E12:AR12)</f>
        <v>1.2062174999999999</v>
      </c>
      <c r="AS35">
        <f>MAX($E12:AS12)</f>
        <v>1.2062174999999999</v>
      </c>
      <c r="AT35">
        <f>MAX($E12:AT12)</f>
        <v>1.2062174999999999</v>
      </c>
      <c r="AU35">
        <f>MAX($E12:AU12)</f>
        <v>1.3321974999999999</v>
      </c>
      <c r="AV35">
        <f>MAX($E12:AV12)</f>
        <v>1.3321974999999999</v>
      </c>
      <c r="AW35">
        <f>MAX($E12:AW12)</f>
        <v>1.3321974999999999</v>
      </c>
      <c r="AX35">
        <f>MAX($E12:AX12)</f>
        <v>1.3321974999999999</v>
      </c>
      <c r="AY35">
        <f>MAX($E12:AY12)</f>
        <v>1.3321974999999999</v>
      </c>
      <c r="AZ35">
        <f>MAX($E12:AZ12)</f>
        <v>1.3321974999999999</v>
      </c>
      <c r="BA35">
        <f>MAX($E12:BA12)</f>
        <v>1.3598675</v>
      </c>
      <c r="BB35">
        <f>MAX($E12:BB12)</f>
        <v>1.36632</v>
      </c>
      <c r="BC35">
        <f>MAX($E12:BC12)</f>
        <v>1.36632</v>
      </c>
      <c r="BD35">
        <f>MAX($E12:BD12)</f>
        <v>1.4033374999999999</v>
      </c>
      <c r="BE35">
        <f>MAX($E12:BE12)</f>
        <v>1.4281575</v>
      </c>
      <c r="BF35">
        <f>MAX($E12:BF12)</f>
        <v>1.45065</v>
      </c>
      <c r="BG35">
        <f>MAX($E12:BG12)</f>
        <v>1.45065</v>
      </c>
      <c r="BH35">
        <f>MAX($E12:BH12)</f>
        <v>1.5789975000000001</v>
      </c>
    </row>
    <row r="36" spans="1:61" x14ac:dyDescent="0.25">
      <c r="A36">
        <v>2.70276338514681</v>
      </c>
      <c r="B36">
        <f t="shared" si="4"/>
        <v>3.1298000000000057</v>
      </c>
      <c r="C36">
        <f t="shared" si="5"/>
        <v>0.36999169275992005</v>
      </c>
      <c r="E36">
        <f>MAX($E13:E13)</f>
        <v>0</v>
      </c>
      <c r="F36">
        <f>MAX($E13:F13)</f>
        <v>1.1910074999999999E-2</v>
      </c>
      <c r="G36">
        <f>MAX($E13:G13)</f>
        <v>0.13243835000000001</v>
      </c>
      <c r="H36">
        <f>MAX($E13:H13)</f>
        <v>0.13243835000000001</v>
      </c>
      <c r="I36">
        <f>MAX($E13:I13)</f>
        <v>0.13243835000000001</v>
      </c>
      <c r="J36">
        <f>MAX($E13:J13)</f>
        <v>0.13243835000000001</v>
      </c>
      <c r="K36">
        <f>MAX($E13:K13)</f>
        <v>0.13243835000000001</v>
      </c>
      <c r="L36">
        <f>MAX($E13:L13)</f>
        <v>0.13243835000000001</v>
      </c>
      <c r="M36">
        <f>MAX($E13:M13)</f>
        <v>0.13243835000000001</v>
      </c>
      <c r="N36">
        <f>MAX($E13:N13)</f>
        <v>0.13243835000000001</v>
      </c>
      <c r="O36">
        <f>MAX($E13:O13)</f>
        <v>0.13243835000000001</v>
      </c>
      <c r="P36">
        <f>MAX($E13:P13)</f>
        <v>0.162692</v>
      </c>
      <c r="Q36">
        <f>MAX($E13:Q13)</f>
        <v>0.162692</v>
      </c>
      <c r="R36">
        <f>MAX($E13:R13)</f>
        <v>0.162692</v>
      </c>
      <c r="S36">
        <f>MAX($E13:S13)</f>
        <v>0.162692</v>
      </c>
      <c r="T36">
        <f>MAX($E13:T13)</f>
        <v>0.162692</v>
      </c>
      <c r="U36">
        <f>MAX($E13:U13)</f>
        <v>0.162692</v>
      </c>
      <c r="V36">
        <f>MAX($E13:V13)</f>
        <v>0.162692</v>
      </c>
      <c r="W36">
        <f>MAX($E13:W13)</f>
        <v>0.162692</v>
      </c>
      <c r="X36">
        <f>MAX($E13:X13)</f>
        <v>0.16585250000000001</v>
      </c>
      <c r="Y36">
        <f>MAX($E13:Y13)</f>
        <v>0.16585250000000001</v>
      </c>
      <c r="Z36">
        <f>MAX($E13:Z13)</f>
        <v>0.16585250000000001</v>
      </c>
      <c r="AA36">
        <f>MAX($E13:AA13)</f>
        <v>0.16585250000000001</v>
      </c>
      <c r="AB36">
        <f>MAX($E13:AB13)</f>
        <v>0.43282750000000098</v>
      </c>
      <c r="AC36">
        <f>MAX($E13:AC13)</f>
        <v>0.43282750000000098</v>
      </c>
      <c r="AD36">
        <f>MAX($E13:AD13)</f>
        <v>0.43282750000000098</v>
      </c>
      <c r="AE36">
        <f>MAX($E13:AE13)</f>
        <v>0.43282750000000098</v>
      </c>
      <c r="AF36">
        <f>MAX($E13:AF13)</f>
        <v>0.65807750000000098</v>
      </c>
      <c r="AG36">
        <f>MAX($E13:AG13)</f>
        <v>0.66496750000000004</v>
      </c>
      <c r="AH36">
        <f>MAX($E13:AH13)</f>
        <v>0.66496750000000004</v>
      </c>
      <c r="AI36">
        <f>MAX($E13:AI13)</f>
        <v>0.80713250000000003</v>
      </c>
      <c r="AJ36">
        <f>MAX($E13:AJ13)</f>
        <v>1.0589975</v>
      </c>
      <c r="AK36">
        <f>MAX($E13:AK13)</f>
        <v>1.059485</v>
      </c>
      <c r="AL36">
        <f>MAX($E13:AL13)</f>
        <v>1.059485</v>
      </c>
      <c r="AM36">
        <f>MAX($E13:AM13)</f>
        <v>1.2115575000000001</v>
      </c>
      <c r="AN36">
        <f>MAX($E13:AN13)</f>
        <v>1.2115575000000001</v>
      </c>
      <c r="AO36">
        <f>MAX($E13:AO13)</f>
        <v>1.2115575000000001</v>
      </c>
      <c r="AP36">
        <f>MAX($E13:AP13)</f>
        <v>1.2115575000000001</v>
      </c>
      <c r="AQ36">
        <f>MAX($E13:AQ13)</f>
        <v>1.2115575000000001</v>
      </c>
      <c r="AR36">
        <f>MAX($E13:AR13)</f>
        <v>1.2138899999999999</v>
      </c>
      <c r="AS36">
        <f>MAX($E13:AS13)</f>
        <v>1.2138899999999999</v>
      </c>
      <c r="AT36">
        <f>MAX($E13:AT13)</f>
        <v>1.2138899999999999</v>
      </c>
      <c r="AU36">
        <f>MAX($E13:AU13)</f>
        <v>1.3652525</v>
      </c>
      <c r="AV36">
        <f>MAX($E13:AV13)</f>
        <v>1.3652525</v>
      </c>
      <c r="AW36">
        <f>MAX($E13:AW13)</f>
        <v>1.3652525</v>
      </c>
      <c r="AX36">
        <f>MAX($E13:AX13)</f>
        <v>1.3652525</v>
      </c>
      <c r="AY36">
        <f>MAX($E13:AY13)</f>
        <v>1.3652525</v>
      </c>
      <c r="AZ36">
        <f>MAX($E13:AZ13)</f>
        <v>1.3652525</v>
      </c>
      <c r="BA36">
        <f>MAX($E13:BA13)</f>
        <v>1.3849100000000001</v>
      </c>
      <c r="BB36">
        <f>MAX($E13:BB13)</f>
        <v>1.3893275</v>
      </c>
      <c r="BC36">
        <f>MAX($E13:BC13)</f>
        <v>1.3893275</v>
      </c>
      <c r="BD36">
        <f>MAX($E13:BD13)</f>
        <v>1.4356575</v>
      </c>
      <c r="BE36">
        <f>MAX($E13:BE13)</f>
        <v>1.4751125</v>
      </c>
      <c r="BF36">
        <f>MAX($E13:BF13)</f>
        <v>1.5059100000000001</v>
      </c>
      <c r="BG36">
        <f>MAX($E13:BG13)</f>
        <v>1.5059100000000001</v>
      </c>
      <c r="BH36">
        <f>MAX($E13:BH13)</f>
        <v>1.6717175</v>
      </c>
    </row>
    <row r="37" spans="1:61" x14ac:dyDescent="0.25">
      <c r="A37">
        <v>2.61640759930915</v>
      </c>
      <c r="B37">
        <f t="shared" si="4"/>
        <v>3.0297999999999954</v>
      </c>
      <c r="C37">
        <f t="shared" si="5"/>
        <v>0.38220344577199872</v>
      </c>
      <c r="E37">
        <f>MAX($E14:E14)</f>
        <v>0</v>
      </c>
      <c r="F37">
        <f>MAX($E14:F14)</f>
        <v>5.8013750000000001E-3</v>
      </c>
      <c r="G37">
        <f>MAX($E14:G14)</f>
        <v>0.13414407325</v>
      </c>
      <c r="H37">
        <f>MAX($E14:H14)</f>
        <v>0.13414407325</v>
      </c>
      <c r="I37">
        <f>MAX($E14:I14)</f>
        <v>0.13414407325</v>
      </c>
      <c r="J37">
        <f>MAX($E14:J14)</f>
        <v>0.13414407325</v>
      </c>
      <c r="K37">
        <f>MAX($E14:K14)</f>
        <v>0.13414407325</v>
      </c>
      <c r="L37">
        <f>MAX($E14:L14)</f>
        <v>0.13414407325</v>
      </c>
      <c r="M37">
        <f>MAX($E14:M14)</f>
        <v>0.13414407325</v>
      </c>
      <c r="N37">
        <f>MAX($E14:N14)</f>
        <v>0.13414407325</v>
      </c>
      <c r="O37">
        <f>MAX($E14:O14)</f>
        <v>0.13414407325</v>
      </c>
      <c r="P37">
        <f>MAX($E14:P14)</f>
        <v>0.16601750000000001</v>
      </c>
      <c r="Q37">
        <f>MAX($E14:Q14)</f>
        <v>0.16601750000000001</v>
      </c>
      <c r="R37">
        <f>MAX($E14:R14)</f>
        <v>0.16601750000000001</v>
      </c>
      <c r="S37">
        <f>MAX($E14:S14)</f>
        <v>0.16601750000000001</v>
      </c>
      <c r="T37">
        <f>MAX($E14:T14)</f>
        <v>0.16601750000000001</v>
      </c>
      <c r="U37">
        <f>MAX($E14:U14)</f>
        <v>0.16601750000000001</v>
      </c>
      <c r="V37">
        <f>MAX($E14:V14)</f>
        <v>0.16601750000000001</v>
      </c>
      <c r="W37">
        <f>MAX($E14:W14)</f>
        <v>0.16601750000000001</v>
      </c>
      <c r="X37">
        <f>MAX($E14:X14)</f>
        <v>0.16601750000000001</v>
      </c>
      <c r="Y37">
        <f>MAX($E14:Y14)</f>
        <v>0.16601750000000001</v>
      </c>
      <c r="Z37">
        <f>MAX($E14:Z14)</f>
        <v>0.16601750000000001</v>
      </c>
      <c r="AA37">
        <f>MAX($E14:AA14)</f>
        <v>0.16601750000000001</v>
      </c>
      <c r="AB37">
        <f>MAX($E14:AB14)</f>
        <v>0.43254500000000001</v>
      </c>
      <c r="AC37">
        <f>MAX($E14:AC14)</f>
        <v>0.43254500000000001</v>
      </c>
      <c r="AD37">
        <f>MAX($E14:AD14)</f>
        <v>0.43254500000000001</v>
      </c>
      <c r="AE37">
        <f>MAX($E14:AE14)</f>
        <v>0.43254500000000001</v>
      </c>
      <c r="AF37">
        <f>MAX($E14:AF14)</f>
        <v>0.65324499999999996</v>
      </c>
      <c r="AG37">
        <f>MAX($E14:AG14)</f>
        <v>0.66503250000000003</v>
      </c>
      <c r="AH37">
        <f>MAX($E14:AH14)</f>
        <v>0.66503250000000003</v>
      </c>
      <c r="AI37">
        <f>MAX($E14:AI14)</f>
        <v>0.79757250000000002</v>
      </c>
      <c r="AJ37">
        <f>MAX($E14:AJ14)</f>
        <v>1.055145</v>
      </c>
      <c r="AK37">
        <f>MAX($E14:AK14)</f>
        <v>1.0562075</v>
      </c>
      <c r="AL37">
        <f>MAX($E14:AL14)</f>
        <v>1.0562075</v>
      </c>
      <c r="AM37">
        <f>MAX($E14:AM14)</f>
        <v>1.25667</v>
      </c>
      <c r="AN37">
        <f>MAX($E14:AN14)</f>
        <v>1.25667</v>
      </c>
      <c r="AO37">
        <f>MAX($E14:AO14)</f>
        <v>1.25667</v>
      </c>
      <c r="AP37">
        <f>MAX($E14:AP14)</f>
        <v>1.25667</v>
      </c>
      <c r="AQ37">
        <f>MAX($E14:AQ14)</f>
        <v>1.25667</v>
      </c>
      <c r="AR37">
        <f>MAX($E14:AR14)</f>
        <v>1.2588824999999999</v>
      </c>
      <c r="AS37">
        <f>MAX($E14:AS14)</f>
        <v>1.2588824999999999</v>
      </c>
      <c r="AT37">
        <f>MAX($E14:AT14)</f>
        <v>1.2588824999999999</v>
      </c>
      <c r="AU37">
        <f>MAX($E14:AU14)</f>
        <v>1.43194</v>
      </c>
      <c r="AV37">
        <f>MAX($E14:AV14)</f>
        <v>1.43194</v>
      </c>
      <c r="AW37">
        <f>MAX($E14:AW14)</f>
        <v>1.43194</v>
      </c>
      <c r="AX37">
        <f>MAX($E14:AX14)</f>
        <v>1.43194</v>
      </c>
      <c r="AY37">
        <f>MAX($E14:AY14)</f>
        <v>1.43194</v>
      </c>
      <c r="AZ37">
        <f>MAX($E14:AZ14)</f>
        <v>1.43194</v>
      </c>
      <c r="BA37">
        <f>MAX($E14:BA14)</f>
        <v>1.44703</v>
      </c>
      <c r="BB37">
        <f>MAX($E14:BB14)</f>
        <v>1.4499625</v>
      </c>
      <c r="BC37">
        <f>MAX($E14:BC14)</f>
        <v>1.4499625</v>
      </c>
      <c r="BD37">
        <f>MAX($E14:BD14)</f>
        <v>1.5019450000000001</v>
      </c>
      <c r="BE37">
        <f>MAX($E14:BE14)</f>
        <v>1.5594475000000001</v>
      </c>
      <c r="BF37">
        <f>MAX($E14:BF14)</f>
        <v>1.5932599999999999</v>
      </c>
      <c r="BG37">
        <f>MAX($E14:BG14)</f>
        <v>1.6056025</v>
      </c>
      <c r="BH37">
        <f>MAX($E14:BH14)</f>
        <v>1.779185</v>
      </c>
    </row>
    <row r="38" spans="1:61" x14ac:dyDescent="0.25">
      <c r="A38">
        <v>2.5300518134715002</v>
      </c>
      <c r="B38">
        <f t="shared" si="4"/>
        <v>2.9297999999999971</v>
      </c>
      <c r="C38">
        <f t="shared" si="5"/>
        <v>0.39524882244521847</v>
      </c>
      <c r="E38">
        <f>MAX($E15:E15)</f>
        <v>0</v>
      </c>
      <c r="F38">
        <f>MAX($E15:F15)</f>
        <v>0</v>
      </c>
      <c r="G38">
        <f>MAX($E15:G15)</f>
        <v>0.1325072075</v>
      </c>
      <c r="H38">
        <f>MAX($E15:H15)</f>
        <v>0.1325072075</v>
      </c>
      <c r="I38">
        <f>MAX($E15:I15)</f>
        <v>0.1325072075</v>
      </c>
      <c r="J38">
        <f>MAX($E15:J15)</f>
        <v>0.1325072075</v>
      </c>
      <c r="K38">
        <f>MAX($E15:K15)</f>
        <v>0.1325072075</v>
      </c>
      <c r="L38">
        <f>MAX($E15:L15)</f>
        <v>0.1325072075</v>
      </c>
      <c r="M38">
        <f>MAX($E15:M15)</f>
        <v>0.1325072075</v>
      </c>
      <c r="N38">
        <f>MAX($E15:N15)</f>
        <v>0.1325072075</v>
      </c>
      <c r="O38">
        <f>MAX($E15:O15)</f>
        <v>0.1325072075</v>
      </c>
      <c r="P38">
        <f>MAX($E15:P15)</f>
        <v>0.16618925000000001</v>
      </c>
      <c r="Q38">
        <f>MAX($E15:Q15)</f>
        <v>0.16618925000000001</v>
      </c>
      <c r="R38">
        <f>MAX($E15:R15)</f>
        <v>0.16618925000000001</v>
      </c>
      <c r="S38">
        <f>MAX($E15:S15)</f>
        <v>0.16618925000000001</v>
      </c>
      <c r="T38">
        <f>MAX($E15:T15)</f>
        <v>0.16618925000000001</v>
      </c>
      <c r="U38">
        <f>MAX($E15:U15)</f>
        <v>0.16618925000000001</v>
      </c>
      <c r="V38">
        <f>MAX($E15:V15)</f>
        <v>0.16618925000000001</v>
      </c>
      <c r="W38">
        <f>MAX($E15:W15)</f>
        <v>0.16618925000000001</v>
      </c>
      <c r="X38">
        <f>MAX($E15:X15)</f>
        <v>0.16618925000000001</v>
      </c>
      <c r="Y38">
        <f>MAX($E15:Y15)</f>
        <v>0.16618925000000001</v>
      </c>
      <c r="Z38">
        <f>MAX($E15:Z15)</f>
        <v>0.16618925000000001</v>
      </c>
      <c r="AA38">
        <f>MAX($E15:AA15)</f>
        <v>0.16618925000000001</v>
      </c>
      <c r="AB38">
        <f>MAX($E15:AB15)</f>
        <v>0.23830750000000001</v>
      </c>
      <c r="AC38">
        <f>MAX($E15:AC15)</f>
        <v>0.23830750000000001</v>
      </c>
      <c r="AD38">
        <f>MAX($E15:AD15)</f>
        <v>0.23830750000000001</v>
      </c>
      <c r="AE38">
        <f>MAX($E15:AE15)</f>
        <v>0.23830750000000001</v>
      </c>
      <c r="AF38">
        <f>MAX($E15:AF15)</f>
        <v>0.40326499999999899</v>
      </c>
      <c r="AG38">
        <f>MAX($E15:AG15)</f>
        <v>0.42305500000000001</v>
      </c>
      <c r="AH38">
        <f>MAX($E15:AH15)</f>
        <v>0.42305500000000001</v>
      </c>
      <c r="AI38">
        <f>MAX($E15:AI15)</f>
        <v>0.52953249999999996</v>
      </c>
      <c r="AJ38">
        <f>MAX($E15:AJ15)</f>
        <v>0.77456000000000003</v>
      </c>
      <c r="AK38">
        <f>MAX($E15:AK15)</f>
        <v>0.77456000000000003</v>
      </c>
      <c r="AL38">
        <f>MAX($E15:AL15)</f>
        <v>0.77456000000000003</v>
      </c>
      <c r="AM38">
        <f>MAX($E15:AM15)</f>
        <v>0.94460500000000003</v>
      </c>
      <c r="AN38">
        <f>MAX($E15:AN15)</f>
        <v>0.94460500000000003</v>
      </c>
      <c r="AO38">
        <f>MAX($E15:AO15)</f>
        <v>0.94460500000000003</v>
      </c>
      <c r="AP38">
        <f>MAX($E15:AP15)</f>
        <v>0.94460500000000003</v>
      </c>
      <c r="AQ38">
        <f>MAX($E15:AQ15)</f>
        <v>0.94460500000000003</v>
      </c>
      <c r="AR38">
        <f>MAX($E15:AR15)</f>
        <v>0.96331250000000002</v>
      </c>
      <c r="AS38">
        <f>MAX($E15:AS15)</f>
        <v>0.96331250000000002</v>
      </c>
      <c r="AT38">
        <f>MAX($E15:AT15)</f>
        <v>0.96331250000000002</v>
      </c>
      <c r="AU38">
        <f>MAX($E15:AU15)</f>
        <v>1.0960049999999999</v>
      </c>
      <c r="AV38">
        <f>MAX($E15:AV15)</f>
        <v>1.0960049999999999</v>
      </c>
      <c r="AW38">
        <f>MAX($E15:AW15)</f>
        <v>1.0960049999999999</v>
      </c>
      <c r="AX38">
        <f>MAX($E15:AX15)</f>
        <v>1.0960049999999999</v>
      </c>
      <c r="AY38">
        <f>MAX($E15:AY15)</f>
        <v>1.0960049999999999</v>
      </c>
      <c r="AZ38">
        <f>MAX($E15:AZ15)</f>
        <v>1.0960049999999999</v>
      </c>
      <c r="BA38">
        <f>MAX($E15:BA15)</f>
        <v>1.0960049999999999</v>
      </c>
      <c r="BB38">
        <f>MAX($E15:BB15)</f>
        <v>1.0960049999999999</v>
      </c>
      <c r="BC38">
        <f>MAX($E15:BC15)</f>
        <v>1.0960049999999999</v>
      </c>
      <c r="BD38">
        <f>MAX($E15:BD15)</f>
        <v>1.1456999999999999</v>
      </c>
      <c r="BE38">
        <f>MAX($E15:BE15)</f>
        <v>1.2010749999999999</v>
      </c>
      <c r="BF38">
        <f>MAX($E15:BF15)</f>
        <v>1.2371975</v>
      </c>
      <c r="BG38">
        <f>MAX($E15:BG15)</f>
        <v>1.2379899999999999</v>
      </c>
      <c r="BH38">
        <f>MAX($E15:BH15)</f>
        <v>1.4144650000000001</v>
      </c>
    </row>
    <row r="39" spans="1:61" x14ac:dyDescent="0.25">
      <c r="A39">
        <v>2.44369602763385</v>
      </c>
      <c r="B39">
        <f t="shared" si="4"/>
        <v>2.8297999999999979</v>
      </c>
      <c r="C39">
        <f t="shared" si="5"/>
        <v>0.40921619902466633</v>
      </c>
      <c r="E39">
        <f>MAX($E16:E16)</f>
        <v>0</v>
      </c>
      <c r="F39">
        <f>MAX($E16:F16)</f>
        <v>0</v>
      </c>
      <c r="G39">
        <f>MAX($E16:G16)</f>
        <v>0.12989565</v>
      </c>
      <c r="H39">
        <f>MAX($E16:H16)</f>
        <v>0.12989565</v>
      </c>
      <c r="I39">
        <f>MAX($E16:I16)</f>
        <v>0.12989565</v>
      </c>
      <c r="J39">
        <f>MAX($E16:J16)</f>
        <v>0.12989565</v>
      </c>
      <c r="K39">
        <f>MAX($E16:K16)</f>
        <v>0.12989565</v>
      </c>
      <c r="L39">
        <f>MAX($E16:L16)</f>
        <v>0.12989565</v>
      </c>
      <c r="M39">
        <f>MAX($E16:M16)</f>
        <v>0.12989565</v>
      </c>
      <c r="N39">
        <f>MAX($E16:N16)</f>
        <v>0.12989565</v>
      </c>
      <c r="O39">
        <f>MAX($E16:O16)</f>
        <v>0.12989565</v>
      </c>
      <c r="P39">
        <f>MAX($E16:P16)</f>
        <v>0.17135900000000001</v>
      </c>
      <c r="Q39">
        <f>MAX($E16:Q16)</f>
        <v>0.17135900000000001</v>
      </c>
      <c r="R39">
        <f>MAX($E16:R16)</f>
        <v>0.17135900000000001</v>
      </c>
      <c r="S39">
        <f>MAX($E16:S16)</f>
        <v>0.17135900000000001</v>
      </c>
      <c r="T39">
        <f>MAX($E16:T16)</f>
        <v>0.17135900000000001</v>
      </c>
      <c r="U39">
        <f>MAX($E16:U16)</f>
        <v>0.17135900000000001</v>
      </c>
      <c r="V39">
        <f>MAX($E16:V16)</f>
        <v>0.17135900000000001</v>
      </c>
      <c r="W39">
        <f>MAX($E16:W16)</f>
        <v>0.17135900000000001</v>
      </c>
      <c r="X39">
        <f>MAX($E16:X16)</f>
        <v>0.17135900000000001</v>
      </c>
      <c r="Y39">
        <f>MAX($E16:Y16)</f>
        <v>0.17135900000000001</v>
      </c>
      <c r="Z39">
        <f>MAX($E16:Z16)</f>
        <v>0.17135900000000001</v>
      </c>
      <c r="AA39">
        <f>MAX($E16:AA16)</f>
        <v>0.17135900000000001</v>
      </c>
      <c r="AB39">
        <f>MAX($E16:AB16)</f>
        <v>0.17135900000000001</v>
      </c>
      <c r="AC39">
        <f>MAX($E16:AC16)</f>
        <v>0.17135900000000001</v>
      </c>
      <c r="AD39">
        <f>MAX($E16:AD16)</f>
        <v>0.17135900000000001</v>
      </c>
      <c r="AE39">
        <f>MAX($E16:AE16)</f>
        <v>0.17135900000000001</v>
      </c>
      <c r="AF39">
        <f>MAX($E16:AF16)</f>
        <v>0.21091499999999999</v>
      </c>
      <c r="AG39">
        <f>MAX($E16:AG16)</f>
        <v>0.23835999999999999</v>
      </c>
      <c r="AH39">
        <f>MAX($E16:AH16)</f>
        <v>0.23835999999999999</v>
      </c>
      <c r="AI39">
        <f>MAX($E16:AI16)</f>
        <v>0.32403000000000098</v>
      </c>
      <c r="AJ39">
        <f>MAX($E16:AJ16)</f>
        <v>0.56379999999999997</v>
      </c>
      <c r="AK39">
        <f>MAX($E16:AK16)</f>
        <v>0.56379999999999997</v>
      </c>
      <c r="AL39">
        <f>MAX($E16:AL16)</f>
        <v>0.56379999999999997</v>
      </c>
      <c r="AM39">
        <f>MAX($E16:AM16)</f>
        <v>0.71933499999999995</v>
      </c>
      <c r="AN39">
        <f>MAX($E16:AN16)</f>
        <v>0.71933499999999995</v>
      </c>
      <c r="AO39">
        <f>MAX($E16:AO16)</f>
        <v>0.71933499999999995</v>
      </c>
      <c r="AP39">
        <f>MAX($E16:AP16)</f>
        <v>0.71933499999999995</v>
      </c>
      <c r="AQ39">
        <f>MAX($E16:AQ16)</f>
        <v>0.71933499999999995</v>
      </c>
      <c r="AR39">
        <f>MAX($E16:AR16)</f>
        <v>0.75090500000000004</v>
      </c>
      <c r="AS39">
        <f>MAX($E16:AS16)</f>
        <v>0.75090500000000004</v>
      </c>
      <c r="AT39">
        <f>MAX($E16:AT16)</f>
        <v>0.75090500000000004</v>
      </c>
      <c r="AU39">
        <f>MAX($E16:AU16)</f>
        <v>0.863815</v>
      </c>
      <c r="AV39">
        <f>MAX($E16:AV16)</f>
        <v>0.863815</v>
      </c>
      <c r="AW39">
        <f>MAX($E16:AW16)</f>
        <v>0.863815</v>
      </c>
      <c r="AX39">
        <f>MAX($E16:AX16)</f>
        <v>0.863815</v>
      </c>
      <c r="AY39">
        <f>MAX($E16:AY16)</f>
        <v>0.863815</v>
      </c>
      <c r="AZ39">
        <f>MAX($E16:AZ16)</f>
        <v>0.863815</v>
      </c>
      <c r="BA39">
        <f>MAX($E16:BA16)</f>
        <v>0.863815</v>
      </c>
      <c r="BB39">
        <f>MAX($E16:BB16)</f>
        <v>0.863815</v>
      </c>
      <c r="BC39">
        <f>MAX($E16:BC16)</f>
        <v>0.863815</v>
      </c>
      <c r="BD39">
        <f>MAX($E16:BD16)</f>
        <v>0.89515250000000002</v>
      </c>
      <c r="BE39">
        <f>MAX($E16:BE16)</f>
        <v>0.94985750000000002</v>
      </c>
      <c r="BF39">
        <f>MAX($E16:BF16)</f>
        <v>0.98419250000000003</v>
      </c>
      <c r="BG39">
        <f>MAX($E16:BG16)</f>
        <v>1.02939</v>
      </c>
      <c r="BH39">
        <f>MAX($E16:BH16)</f>
        <v>1.2131350000000001</v>
      </c>
    </row>
    <row r="40" spans="1:61" x14ac:dyDescent="0.25">
      <c r="A40">
        <v>2.3573402417962002</v>
      </c>
      <c r="B40">
        <f t="shared" si="4"/>
        <v>2.7297999999999996</v>
      </c>
      <c r="C40">
        <f t="shared" si="5"/>
        <v>0.42420690160451319</v>
      </c>
      <c r="E40">
        <f>MAX($E17:E17)</f>
        <v>0</v>
      </c>
      <c r="F40">
        <f>MAX($E17:F17)</f>
        <v>0</v>
      </c>
      <c r="G40">
        <f>MAX($E17:G17)</f>
        <v>0.13610707499999999</v>
      </c>
      <c r="H40">
        <f>MAX($E17:H17)</f>
        <v>0.13610707499999999</v>
      </c>
      <c r="I40">
        <f>MAX($E17:I17)</f>
        <v>0.13610707499999999</v>
      </c>
      <c r="J40">
        <f>MAX($E17:J17)</f>
        <v>0.13610707499999999</v>
      </c>
      <c r="K40">
        <f>MAX($E17:K17)</f>
        <v>0.13610707499999999</v>
      </c>
      <c r="L40">
        <f>MAX($E17:L17)</f>
        <v>0.13610707499999999</v>
      </c>
      <c r="M40">
        <f>MAX($E17:M17)</f>
        <v>0.13610707499999999</v>
      </c>
      <c r="N40">
        <f>MAX($E17:N17)</f>
        <v>0.13610707499999999</v>
      </c>
      <c r="O40">
        <f>MAX($E17:O17)</f>
        <v>0.13610707499999999</v>
      </c>
      <c r="P40">
        <f>MAX($E17:P17)</f>
        <v>0.18774750000000001</v>
      </c>
      <c r="Q40">
        <f>MAX($E17:Q17)</f>
        <v>0.18774750000000001</v>
      </c>
      <c r="R40">
        <f>MAX($E17:R17)</f>
        <v>0.18774750000000001</v>
      </c>
      <c r="S40">
        <f>MAX($E17:S17)</f>
        <v>0.18774750000000001</v>
      </c>
      <c r="T40">
        <f>MAX($E17:T17)</f>
        <v>0.18774750000000001</v>
      </c>
      <c r="U40">
        <f>MAX($E17:U17)</f>
        <v>0.18774750000000001</v>
      </c>
      <c r="V40">
        <f>MAX($E17:V17)</f>
        <v>0.18774750000000001</v>
      </c>
      <c r="W40">
        <f>MAX($E17:W17)</f>
        <v>0.18774750000000001</v>
      </c>
      <c r="X40">
        <f>MAX($E17:X17)</f>
        <v>0.18774750000000001</v>
      </c>
      <c r="Y40">
        <f>MAX($E17:Y17)</f>
        <v>0.18774750000000001</v>
      </c>
      <c r="Z40">
        <f>MAX($E17:Z17)</f>
        <v>0.18774750000000001</v>
      </c>
      <c r="AA40">
        <f>MAX($E17:AA17)</f>
        <v>0.18774750000000001</v>
      </c>
      <c r="AB40">
        <f>MAX($E17:AB17)</f>
        <v>0.18774750000000001</v>
      </c>
      <c r="AC40">
        <f>MAX($E17:AC17)</f>
        <v>0.18774750000000001</v>
      </c>
      <c r="AD40">
        <f>MAX($E17:AD17)</f>
        <v>0.18774750000000001</v>
      </c>
      <c r="AE40">
        <f>MAX($E17:AE17)</f>
        <v>0.18774750000000001</v>
      </c>
      <c r="AF40">
        <f>MAX($E17:AF17)</f>
        <v>0.18774750000000001</v>
      </c>
      <c r="AG40">
        <f>MAX($E17:AG17)</f>
        <v>0.1909025</v>
      </c>
      <c r="AH40">
        <f>MAX($E17:AH17)</f>
        <v>0.1909025</v>
      </c>
      <c r="AI40">
        <f>MAX($E17:AI17)</f>
        <v>0.238485</v>
      </c>
      <c r="AJ40">
        <f>MAX($E17:AJ17)</f>
        <v>0.47578500000000101</v>
      </c>
      <c r="AK40">
        <f>MAX($E17:AK17)</f>
        <v>0.47578500000000101</v>
      </c>
      <c r="AL40">
        <f>MAX($E17:AL17)</f>
        <v>0.47578500000000101</v>
      </c>
      <c r="AM40">
        <f>MAX($E17:AM17)</f>
        <v>0.61896499999999999</v>
      </c>
      <c r="AN40">
        <f>MAX($E17:AN17)</f>
        <v>0.61896499999999999</v>
      </c>
      <c r="AO40">
        <f>MAX($E17:AO17)</f>
        <v>0.61896499999999999</v>
      </c>
      <c r="AP40">
        <f>MAX($E17:AP17)</f>
        <v>0.61896499999999999</v>
      </c>
      <c r="AQ40">
        <f>MAX($E17:AQ17)</f>
        <v>0.61896499999999999</v>
      </c>
      <c r="AR40">
        <f>MAX($E17:AR17)</f>
        <v>0.66369499999999904</v>
      </c>
      <c r="AS40">
        <f>MAX($E17:AS17)</f>
        <v>0.66369499999999904</v>
      </c>
      <c r="AT40">
        <f>MAX($E17:AT17)</f>
        <v>0.66369499999999904</v>
      </c>
      <c r="AU40">
        <f>MAX($E17:AU17)</f>
        <v>0.76351750000000096</v>
      </c>
      <c r="AV40">
        <f>MAX($E17:AV17)</f>
        <v>0.76351750000000096</v>
      </c>
      <c r="AW40">
        <f>MAX($E17:AW17)</f>
        <v>0.76351750000000096</v>
      </c>
      <c r="AX40">
        <f>MAX($E17:AX17)</f>
        <v>0.76351750000000096</v>
      </c>
      <c r="AY40">
        <f>MAX($E17:AY17)</f>
        <v>0.76351750000000096</v>
      </c>
      <c r="AZ40">
        <f>MAX($E17:AZ17)</f>
        <v>0.76351750000000096</v>
      </c>
      <c r="BA40">
        <f>MAX($E17:BA17)</f>
        <v>0.76351750000000096</v>
      </c>
      <c r="BB40">
        <f>MAX($E17:BB17)</f>
        <v>0.76351750000000096</v>
      </c>
      <c r="BC40">
        <f>MAX($E17:BC17)</f>
        <v>0.76351750000000096</v>
      </c>
      <c r="BD40">
        <f>MAX($E17:BD17)</f>
        <v>0.7666075</v>
      </c>
      <c r="BE40">
        <f>MAX($E17:BE17)</f>
        <v>0.81849499999999997</v>
      </c>
      <c r="BF40">
        <f>MAX($E17:BF17)</f>
        <v>0.85304000000000102</v>
      </c>
      <c r="BG40">
        <f>MAX($E17:BG17)</f>
        <v>0.89678000000000002</v>
      </c>
      <c r="BH40">
        <f>MAX($E17:BH17)</f>
        <v>1.1060525000000001</v>
      </c>
    </row>
    <row r="47" spans="1:61" x14ac:dyDescent="0.25">
      <c r="D47" s="2" t="s">
        <v>1</v>
      </c>
      <c r="E47">
        <f t="shared" ref="E47:AJ47" si="6">MAX(E26:E45)</f>
        <v>0</v>
      </c>
      <c r="F47">
        <f t="shared" si="6"/>
        <v>2.55173E-2</v>
      </c>
      <c r="G47">
        <f t="shared" si="6"/>
        <v>0.16031219999999999</v>
      </c>
      <c r="H47">
        <f t="shared" si="6"/>
        <v>0.16031219999999999</v>
      </c>
      <c r="I47">
        <f t="shared" si="6"/>
        <v>0.16031219999999999</v>
      </c>
      <c r="J47">
        <f t="shared" si="6"/>
        <v>0.16031219999999999</v>
      </c>
      <c r="K47">
        <f t="shared" si="6"/>
        <v>0.16031219999999999</v>
      </c>
      <c r="L47">
        <f t="shared" si="6"/>
        <v>0.16031219999999999</v>
      </c>
      <c r="M47">
        <f t="shared" si="6"/>
        <v>0.16031219999999999</v>
      </c>
      <c r="N47">
        <f t="shared" si="6"/>
        <v>0.16031219999999999</v>
      </c>
      <c r="O47">
        <f t="shared" si="6"/>
        <v>0.16031219999999999</v>
      </c>
      <c r="P47">
        <f t="shared" si="6"/>
        <v>0.18774750000000001</v>
      </c>
      <c r="Q47">
        <f t="shared" si="6"/>
        <v>0.621313</v>
      </c>
      <c r="R47">
        <f t="shared" si="6"/>
        <v>0.621313</v>
      </c>
      <c r="S47">
        <f t="shared" si="6"/>
        <v>0.621313</v>
      </c>
      <c r="T47">
        <f t="shared" si="6"/>
        <v>0.621313</v>
      </c>
      <c r="U47">
        <f t="shared" si="6"/>
        <v>0.621313</v>
      </c>
      <c r="V47">
        <f t="shared" si="6"/>
        <v>0.621313</v>
      </c>
      <c r="W47">
        <f t="shared" si="6"/>
        <v>0.621313</v>
      </c>
      <c r="X47">
        <f t="shared" si="6"/>
        <v>0.621313</v>
      </c>
      <c r="Y47">
        <f t="shared" si="6"/>
        <v>0.96480250000000001</v>
      </c>
      <c r="Z47">
        <f t="shared" si="6"/>
        <v>0.99676500000000001</v>
      </c>
      <c r="AA47">
        <f t="shared" si="6"/>
        <v>1.1189150000000001</v>
      </c>
      <c r="AB47">
        <f t="shared" si="6"/>
        <v>1.4183874999999999</v>
      </c>
      <c r="AC47">
        <f t="shared" si="6"/>
        <v>1.4183874999999999</v>
      </c>
      <c r="AD47">
        <f t="shared" si="6"/>
        <v>1.4183874999999999</v>
      </c>
      <c r="AE47">
        <f t="shared" si="6"/>
        <v>1.4183874999999999</v>
      </c>
      <c r="AF47">
        <f t="shared" si="6"/>
        <v>1.5229200000000001</v>
      </c>
      <c r="AG47">
        <f t="shared" si="6"/>
        <v>1.5229200000000001</v>
      </c>
      <c r="AH47">
        <f t="shared" si="6"/>
        <v>1.5229200000000001</v>
      </c>
      <c r="AI47">
        <f t="shared" si="6"/>
        <v>1.5229200000000001</v>
      </c>
      <c r="AJ47">
        <f t="shared" si="6"/>
        <v>1.6448525000000001</v>
      </c>
      <c r="AK47">
        <f t="shared" ref="AK47:BH47" si="7">MAX(AK26:AK45)</f>
        <v>1.65821</v>
      </c>
      <c r="AL47">
        <f t="shared" si="7"/>
        <v>1.65821</v>
      </c>
      <c r="AM47">
        <f t="shared" si="7"/>
        <v>1.6968325</v>
      </c>
      <c r="AN47">
        <f t="shared" si="7"/>
        <v>1.6968325</v>
      </c>
      <c r="AO47">
        <f t="shared" si="7"/>
        <v>1.7041200000000001</v>
      </c>
      <c r="AP47">
        <f t="shared" si="7"/>
        <v>1.7041200000000001</v>
      </c>
      <c r="AQ47">
        <f t="shared" si="7"/>
        <v>1.7041200000000001</v>
      </c>
      <c r="AR47">
        <f t="shared" si="7"/>
        <v>1.7041200000000001</v>
      </c>
      <c r="AS47">
        <f t="shared" si="7"/>
        <v>1.7041200000000001</v>
      </c>
      <c r="AT47">
        <f t="shared" si="7"/>
        <v>1.7041200000000001</v>
      </c>
      <c r="AU47">
        <f t="shared" si="7"/>
        <v>1.7914300000000001</v>
      </c>
      <c r="AV47">
        <f t="shared" si="7"/>
        <v>1.8077375</v>
      </c>
      <c r="AW47">
        <f t="shared" si="7"/>
        <v>1.8108925</v>
      </c>
      <c r="AX47">
        <f t="shared" si="7"/>
        <v>1.8108925</v>
      </c>
      <c r="AY47">
        <f t="shared" si="7"/>
        <v>1.8231299999999999</v>
      </c>
      <c r="AZ47">
        <f t="shared" si="7"/>
        <v>1.8231299999999999</v>
      </c>
      <c r="BA47">
        <f t="shared" si="7"/>
        <v>1.8884775</v>
      </c>
      <c r="BB47">
        <f t="shared" si="7"/>
        <v>1.8985924999999999</v>
      </c>
      <c r="BC47">
        <f t="shared" si="7"/>
        <v>1.8985924999999999</v>
      </c>
      <c r="BD47">
        <f t="shared" si="7"/>
        <v>1.90635</v>
      </c>
      <c r="BE47">
        <f t="shared" si="7"/>
        <v>1.9143675</v>
      </c>
      <c r="BF47">
        <f t="shared" si="7"/>
        <v>1.9170925000000001</v>
      </c>
      <c r="BG47">
        <f t="shared" si="7"/>
        <v>1.9170925000000001</v>
      </c>
      <c r="BH47">
        <f t="shared" si="7"/>
        <v>1.9170925000000001</v>
      </c>
      <c r="BI47">
        <v>10</v>
      </c>
    </row>
    <row r="48" spans="1:61" x14ac:dyDescent="0.25">
      <c r="D48" s="2" t="s">
        <v>38</v>
      </c>
      <c r="E48" s="8" cm="1">
        <f t="array" ref="E48">MAX($C26:$C45*E26:E45)</f>
        <v>0</v>
      </c>
      <c r="F48" s="8" cm="1">
        <f t="array" ref="F48">MAX($C26:$C45*F26:F45)</f>
        <v>8.1238630800611923E-3</v>
      </c>
      <c r="G48" s="8" cm="1">
        <f t="array" ref="G48">MAX($C26:$C45*G26:G45)</f>
        <v>5.7737560572203091E-2</v>
      </c>
      <c r="H48" s="8" cm="1">
        <f t="array" ref="H48">MAX($C26:$C45*H26:H45)</f>
        <v>5.7737560572203091E-2</v>
      </c>
      <c r="I48" s="8" cm="1">
        <f t="array" ref="I48">MAX($C26:$C45*I26:I45)</f>
        <v>5.7737560572203091E-2</v>
      </c>
      <c r="J48" s="8" cm="1">
        <f t="array" ref="J48">MAX($C26:$C45*J26:J45)</f>
        <v>5.7737560572203091E-2</v>
      </c>
      <c r="K48" s="8" cm="1">
        <f t="array" ref="K48">MAX($C26:$C45*K26:K45)</f>
        <v>5.7737560572203091E-2</v>
      </c>
      <c r="L48" s="8" cm="1">
        <f t="array" ref="L48">MAX($C26:$C45*L26:L45)</f>
        <v>5.7737560572203091E-2</v>
      </c>
      <c r="M48" s="8" cm="1">
        <f t="array" ref="M48">MAX($C26:$C45*M26:M45)</f>
        <v>5.7737560572203091E-2</v>
      </c>
      <c r="N48" s="8" cm="1">
        <f t="array" ref="N48">MAX($C26:$C45*N26:N45)</f>
        <v>5.7737560572203091E-2</v>
      </c>
      <c r="O48" s="8" cm="1">
        <f t="array" ref="O48">MAX($C26:$C45*O26:O45)</f>
        <v>5.7737560572203091E-2</v>
      </c>
      <c r="P48" s="8" cm="1">
        <f t="array" ref="P48">MAX($C26:$C45*P26:P45)</f>
        <v>7.9643785258993349E-2</v>
      </c>
      <c r="Q48" s="8" cm="1">
        <f t="array" ref="Q48">MAX($C26:$C45*Q26:Q45)</f>
        <v>0.17421677902077565</v>
      </c>
      <c r="R48" s="8" cm="1">
        <f t="array" ref="R48">MAX($C26:$C45*R26:R45)</f>
        <v>0.17421677902077565</v>
      </c>
      <c r="S48" s="8" cm="1">
        <f t="array" ref="S48">MAX($C26:$C45*S26:S45)</f>
        <v>0.17421677902077565</v>
      </c>
      <c r="T48" s="8" cm="1">
        <f t="array" ref="T48">MAX($C26:$C45*T26:T45)</f>
        <v>0.17421677902077565</v>
      </c>
      <c r="U48" s="8" cm="1">
        <f t="array" ref="U48">MAX($C26:$C45*U26:U45)</f>
        <v>0.17421677902077565</v>
      </c>
      <c r="V48" s="8" cm="1">
        <f t="array" ref="V48">MAX($C26:$C45*V26:V45)</f>
        <v>0.17421677902077565</v>
      </c>
      <c r="W48" s="8" cm="1">
        <f t="array" ref="W48">MAX($C26:$C45*W26:W45)</f>
        <v>0.17421677902077565</v>
      </c>
      <c r="X48" s="8" cm="1">
        <f t="array" ref="X48">MAX($C26:$C45*X26:X45)</f>
        <v>0.17421677902077565</v>
      </c>
      <c r="Y48" s="8" cm="1">
        <f t="array" ref="Y48">MAX($C26:$C45*Y26:Y45)</f>
        <v>0.27053157416824031</v>
      </c>
      <c r="Z48" s="8" cm="1">
        <f t="array" ref="Z48">MAX($C26:$C45*Z26:Z45)</f>
        <v>0.27949389074531422</v>
      </c>
      <c r="AA48" s="8" cm="1">
        <f t="array" ref="AA48">MAX($C26:$C45*AA26:AA45)</f>
        <v>0.31374487142234458</v>
      </c>
      <c r="AB48" s="8" cm="1">
        <f t="array" ref="AB48">MAX($C26:$C45*AB26:AB45)</f>
        <v>0.44037018740951273</v>
      </c>
      <c r="AC48" s="8" cm="1">
        <f t="array" ref="AC48">MAX($C26:$C45*AC26:AC45)</f>
        <v>0.44037018740951273</v>
      </c>
      <c r="AD48" s="8" cm="1">
        <f t="array" ref="AD48">MAX($C26:$C45*AD26:AD45)</f>
        <v>0.44037018740951273</v>
      </c>
      <c r="AE48" s="8" cm="1">
        <f t="array" ref="AE48">MAX($C26:$C45*AE26:AE45)</f>
        <v>0.44037018740951273</v>
      </c>
      <c r="AF48" s="8" cm="1">
        <f t="array" ref="AF48">MAX($C26:$C45*AF26:AF45)</f>
        <v>0.47282464475307012</v>
      </c>
      <c r="AG48" s="8" cm="1">
        <f t="array" ref="AG48">MAX($C26:$C45*AG26:AG45)</f>
        <v>0.47282464475307012</v>
      </c>
      <c r="AH48" s="8" cm="1">
        <f t="array" ref="AH48">MAX($C26:$C45*AH26:AH45)</f>
        <v>0.47282464475307012</v>
      </c>
      <c r="AI48" s="8" cm="1">
        <f t="array" ref="AI48">MAX($C26:$C45*AI26:AI45)</f>
        <v>0.47282464475307012</v>
      </c>
      <c r="AJ48" s="8" cm="1">
        <f t="array" ref="AJ48">MAX($C26:$C45*AJ26:AJ45)</f>
        <v>0.5106813220548021</v>
      </c>
      <c r="AK48" s="8" cm="1">
        <f t="array" ref="AK48">MAX($C26:$C45*AK26:AK45)</f>
        <v>0.51482845728993532</v>
      </c>
      <c r="AL48" s="8" cm="1">
        <f t="array" ref="AL48">MAX($C26:$C45*AL26:AL45)</f>
        <v>0.51482845728993532</v>
      </c>
      <c r="AM48" s="8" cm="1">
        <f t="array" ref="AM48">MAX($C26:$C45*AM26:AM45)</f>
        <v>0.52681967799882057</v>
      </c>
      <c r="AN48" s="8" cm="1">
        <f t="array" ref="AN48">MAX($C26:$C45*AN26:AN45)</f>
        <v>0.52681967799882057</v>
      </c>
      <c r="AO48" s="8" cm="1">
        <f t="array" ref="AO48">MAX($C26:$C45*AO26:AO45)</f>
        <v>0.5290822456968205</v>
      </c>
      <c r="AP48" s="8" cm="1">
        <f t="array" ref="AP48">MAX($C26:$C45*AP26:AP45)</f>
        <v>0.5290822456968205</v>
      </c>
      <c r="AQ48" s="8" cm="1">
        <f t="array" ref="AQ48">MAX($C26:$C45*AQ26:AQ45)</f>
        <v>0.5290822456968205</v>
      </c>
      <c r="AR48" s="8" cm="1">
        <f t="array" ref="AR48">MAX($C26:$C45*AR26:AR45)</f>
        <v>0.5290822456968205</v>
      </c>
      <c r="AS48" s="8" cm="1">
        <f t="array" ref="AS48">MAX($C26:$C45*AS26:AS45)</f>
        <v>0.5290822456968205</v>
      </c>
      <c r="AT48" s="8" cm="1">
        <f t="array" ref="AT48">MAX($C26:$C45*AT26:AT45)</f>
        <v>0.5290822456968205</v>
      </c>
      <c r="AU48" s="8" cm="1">
        <f t="array" ref="AU48">MAX($C26:$C45*AU26:AU45)</f>
        <v>0.55618959193522466</v>
      </c>
      <c r="AV48" s="8" cm="1">
        <f t="array" ref="AV48">MAX($C26:$C45*AV26:AV45)</f>
        <v>0.56125262078395655</v>
      </c>
      <c r="AW48" s="8" cm="1">
        <f t="array" ref="AW48">MAX($C26:$C45*AW26:AW45)</f>
        <v>0.56223216124188991</v>
      </c>
      <c r="AX48" s="8" cm="1">
        <f t="array" ref="AX48">MAX($C26:$C45*AX26:AX45)</f>
        <v>0.56223216124188991</v>
      </c>
      <c r="AY48" s="8" cm="1">
        <f t="array" ref="AY48">MAX($C26:$C45*AY26:AY45)</f>
        <v>0.56603156737626703</v>
      </c>
      <c r="AZ48" s="8" cm="1">
        <f t="array" ref="AZ48">MAX($C26:$C45*AZ26:AZ45)</f>
        <v>0.56603156737626703</v>
      </c>
      <c r="BA48" s="8" cm="1">
        <f t="array" ref="BA48">MAX($C26:$C45*BA26:BA45)</f>
        <v>0.58632016327953274</v>
      </c>
      <c r="BB48" s="8" cm="1">
        <f t="array" ref="BB48">MAX($C26:$C45*BB26:BB45)</f>
        <v>0.58946059172073595</v>
      </c>
      <c r="BC48" s="8" cm="1">
        <f t="array" ref="BC48">MAX($C26:$C45*BC26:BC45)</f>
        <v>0.58946059172073595</v>
      </c>
      <c r="BD48" s="8" cm="1">
        <f t="array" ref="BD48">MAX($C26:$C45*BD26:BD45)</f>
        <v>0.59186908145208883</v>
      </c>
      <c r="BE48" s="8" cm="1">
        <f t="array" ref="BE48">MAX($C26:$C45*BE26:BE45)</f>
        <v>0.59602620800052897</v>
      </c>
      <c r="BF48" s="8" cm="1">
        <f t="array" ref="BF48">MAX($C26:$C45*BF26:BF45)</f>
        <v>0.60894946201069466</v>
      </c>
      <c r="BG48" s="8" cm="1">
        <f t="array" ref="BG48">MAX($C26:$C45*BG26:BG45)</f>
        <v>0.61366680804013563</v>
      </c>
      <c r="BH48" s="8" cm="1">
        <f t="array" ref="BH48">MAX($C26:$C45*BH26:BH45)</f>
        <v>0.68001063766585357</v>
      </c>
      <c r="BI48">
        <v>10</v>
      </c>
    </row>
    <row r="49" spans="1:61" x14ac:dyDescent="0.25">
      <c r="D49" s="2" t="s">
        <v>32</v>
      </c>
      <c r="E49">
        <f>MAX($E25:$BH25)/E25</f>
        <v>5.3833333333333337</v>
      </c>
      <c r="F49">
        <f t="shared" ref="F49:AJ49" si="8">MAX($E25:$BH25)/F25</f>
        <v>2.9363636363636365</v>
      </c>
      <c r="G49">
        <f t="shared" si="8"/>
        <v>2.9099099099099099</v>
      </c>
      <c r="H49">
        <f t="shared" si="8"/>
        <v>2.9099099099099099</v>
      </c>
      <c r="I49">
        <f t="shared" si="8"/>
        <v>2.1390728476821192</v>
      </c>
      <c r="J49">
        <f t="shared" si="8"/>
        <v>2.1390728476821192</v>
      </c>
      <c r="K49">
        <f t="shared" si="8"/>
        <v>2.1111111111111112</v>
      </c>
      <c r="L49">
        <f t="shared" si="8"/>
        <v>2.0443037974683542</v>
      </c>
      <c r="M49">
        <f t="shared" si="8"/>
        <v>2.0187499999999998</v>
      </c>
      <c r="N49">
        <f t="shared" si="8"/>
        <v>2.0187499999999998</v>
      </c>
      <c r="O49">
        <f t="shared" si="8"/>
        <v>2.0062111801242235</v>
      </c>
      <c r="P49">
        <f t="shared" si="8"/>
        <v>1.7272727272727273</v>
      </c>
      <c r="Q49">
        <f t="shared" si="8"/>
        <v>1.6564102564102565</v>
      </c>
      <c r="R49">
        <f t="shared" si="8"/>
        <v>1.6479591836734695</v>
      </c>
      <c r="S49">
        <f t="shared" si="8"/>
        <v>1.6479591836734695</v>
      </c>
      <c r="T49">
        <f t="shared" si="8"/>
        <v>1.6395939086294415</v>
      </c>
      <c r="U49">
        <f t="shared" si="8"/>
        <v>1.6395939086294415</v>
      </c>
      <c r="V49">
        <f t="shared" si="8"/>
        <v>1.575609756097561</v>
      </c>
      <c r="W49">
        <f t="shared" si="8"/>
        <v>1.5454545454545454</v>
      </c>
      <c r="X49">
        <f t="shared" si="8"/>
        <v>1.5454545454545454</v>
      </c>
      <c r="Y49">
        <f t="shared" si="8"/>
        <v>1.3686440677966101</v>
      </c>
      <c r="Z49">
        <f t="shared" si="8"/>
        <v>1.3686440677966101</v>
      </c>
      <c r="AA49">
        <f t="shared" si="8"/>
        <v>1.3628691983122363</v>
      </c>
      <c r="AB49">
        <f t="shared" si="8"/>
        <v>1.3292181069958848</v>
      </c>
      <c r="AC49">
        <f t="shared" si="8"/>
        <v>1.3237704918032787</v>
      </c>
      <c r="AD49">
        <f t="shared" si="8"/>
        <v>1.3237704918032787</v>
      </c>
      <c r="AE49">
        <f t="shared" si="8"/>
        <v>1.3130081300813008</v>
      </c>
      <c r="AF49">
        <f t="shared" si="8"/>
        <v>1.2375478927203065</v>
      </c>
      <c r="AG49">
        <f t="shared" si="8"/>
        <v>1.2328244274809161</v>
      </c>
      <c r="AH49">
        <f t="shared" si="8"/>
        <v>1.2281368821292775</v>
      </c>
      <c r="AI49">
        <f t="shared" si="8"/>
        <v>1.1660649819494584</v>
      </c>
      <c r="AJ49">
        <f t="shared" si="8"/>
        <v>1.1535714285714285</v>
      </c>
      <c r="AK49">
        <f t="shared" ref="AK49:BH49" si="9">MAX($E25:$BH25)/AK25</f>
        <v>1.1494661921708185</v>
      </c>
      <c r="AL49">
        <f t="shared" si="9"/>
        <v>1.1453900709219857</v>
      </c>
      <c r="AM49">
        <f t="shared" si="9"/>
        <v>1.1413427561837455</v>
      </c>
      <c r="AN49">
        <f t="shared" si="9"/>
        <v>1.1413427561837455</v>
      </c>
      <c r="AO49">
        <f t="shared" si="9"/>
        <v>1.1413427561837455</v>
      </c>
      <c r="AP49">
        <f t="shared" si="9"/>
        <v>1.1333333333333333</v>
      </c>
      <c r="AQ49">
        <f t="shared" si="9"/>
        <v>1.1333333333333333</v>
      </c>
      <c r="AR49">
        <f t="shared" si="9"/>
        <v>1.1293706293706294</v>
      </c>
      <c r="AS49">
        <f t="shared" si="9"/>
        <v>1.1293706293706294</v>
      </c>
      <c r="AT49">
        <f t="shared" si="9"/>
        <v>1.1254355400696865</v>
      </c>
      <c r="AU49">
        <f t="shared" si="9"/>
        <v>1.0838926174496644</v>
      </c>
      <c r="AV49">
        <f t="shared" si="9"/>
        <v>1.0838926174496644</v>
      </c>
      <c r="AW49">
        <f t="shared" si="9"/>
        <v>1.0838926174496644</v>
      </c>
      <c r="AX49">
        <f t="shared" si="9"/>
        <v>1.0766666666666667</v>
      </c>
      <c r="AY49">
        <f t="shared" si="9"/>
        <v>1.0590163934426229</v>
      </c>
      <c r="AZ49">
        <f t="shared" si="9"/>
        <v>1.0555555555555556</v>
      </c>
      <c r="BA49">
        <f t="shared" si="9"/>
        <v>1.0352564102564104</v>
      </c>
      <c r="BB49">
        <f t="shared" si="9"/>
        <v>1.0319488817891374</v>
      </c>
      <c r="BC49">
        <f t="shared" si="9"/>
        <v>1.0319488817891374</v>
      </c>
      <c r="BD49">
        <f t="shared" si="9"/>
        <v>1.0253968253968253</v>
      </c>
      <c r="BE49">
        <f t="shared" si="9"/>
        <v>1.0157232704402517</v>
      </c>
      <c r="BF49">
        <f t="shared" si="9"/>
        <v>1.0125391849529781</v>
      </c>
      <c r="BG49">
        <f t="shared" si="9"/>
        <v>1</v>
      </c>
      <c r="BH49">
        <f t="shared" si="9"/>
        <v>1</v>
      </c>
      <c r="BI49">
        <v>1</v>
      </c>
    </row>
    <row r="50" spans="1:61" x14ac:dyDescent="0.25">
      <c r="D50" s="2" t="s">
        <v>55</v>
      </c>
      <c r="E50" s="8">
        <f>E25/MAX($E25:$BH25)</f>
        <v>0.18575851393188855</v>
      </c>
      <c r="F50" s="8">
        <f t="shared" ref="F50:BH50" si="10">F25/MAX($E25:$BH25)</f>
        <v>0.34055727554179566</v>
      </c>
      <c r="G50" s="8">
        <f t="shared" si="10"/>
        <v>0.34365325077399383</v>
      </c>
      <c r="H50" s="8">
        <f t="shared" si="10"/>
        <v>0.34365325077399383</v>
      </c>
      <c r="I50" s="8">
        <f t="shared" si="10"/>
        <v>0.46749226006191952</v>
      </c>
      <c r="J50" s="8">
        <f t="shared" si="10"/>
        <v>0.46749226006191952</v>
      </c>
      <c r="K50" s="8">
        <f t="shared" si="10"/>
        <v>0.47368421052631576</v>
      </c>
      <c r="L50" s="8">
        <f t="shared" si="10"/>
        <v>0.48916408668730649</v>
      </c>
      <c r="M50" s="8">
        <f t="shared" si="10"/>
        <v>0.49535603715170279</v>
      </c>
      <c r="N50" s="8">
        <f t="shared" si="10"/>
        <v>0.49535603715170279</v>
      </c>
      <c r="O50" s="8">
        <f t="shared" si="10"/>
        <v>0.49845201238390091</v>
      </c>
      <c r="P50" s="8">
        <f t="shared" si="10"/>
        <v>0.57894736842105265</v>
      </c>
      <c r="Q50" s="8">
        <f t="shared" si="10"/>
        <v>0.60371517027863775</v>
      </c>
      <c r="R50" s="8">
        <f t="shared" si="10"/>
        <v>0.60681114551083593</v>
      </c>
      <c r="S50" s="8">
        <f t="shared" si="10"/>
        <v>0.60681114551083593</v>
      </c>
      <c r="T50" s="8">
        <f t="shared" si="10"/>
        <v>0.6099071207430341</v>
      </c>
      <c r="U50" s="8">
        <f t="shared" si="10"/>
        <v>0.6099071207430341</v>
      </c>
      <c r="V50" s="8">
        <f t="shared" si="10"/>
        <v>0.6346749226006192</v>
      </c>
      <c r="W50" s="8">
        <f t="shared" si="10"/>
        <v>0.6470588235294118</v>
      </c>
      <c r="X50" s="8">
        <f t="shared" si="10"/>
        <v>0.6470588235294118</v>
      </c>
      <c r="Y50" s="8">
        <f t="shared" si="10"/>
        <v>0.73065015479876161</v>
      </c>
      <c r="Z50" s="8">
        <f t="shared" si="10"/>
        <v>0.73065015479876161</v>
      </c>
      <c r="AA50" s="8">
        <f t="shared" si="10"/>
        <v>0.73374613003095979</v>
      </c>
      <c r="AB50" s="8">
        <f t="shared" si="10"/>
        <v>0.75232198142414863</v>
      </c>
      <c r="AC50" s="8">
        <f t="shared" si="10"/>
        <v>0.7554179566563467</v>
      </c>
      <c r="AD50" s="8">
        <f t="shared" si="10"/>
        <v>0.7554179566563467</v>
      </c>
      <c r="AE50" s="8">
        <f t="shared" si="10"/>
        <v>0.76160990712074306</v>
      </c>
      <c r="AF50" s="8">
        <f t="shared" si="10"/>
        <v>0.80804953560371517</v>
      </c>
      <c r="AG50" s="8">
        <f t="shared" si="10"/>
        <v>0.81114551083591335</v>
      </c>
      <c r="AH50" s="8">
        <f t="shared" si="10"/>
        <v>0.81424148606811142</v>
      </c>
      <c r="AI50" s="8">
        <f t="shared" si="10"/>
        <v>0.85758513931888547</v>
      </c>
      <c r="AJ50" s="8">
        <f t="shared" si="10"/>
        <v>0.86687306501547989</v>
      </c>
      <c r="AK50" s="8">
        <f t="shared" si="10"/>
        <v>0.86996904024767807</v>
      </c>
      <c r="AL50" s="8">
        <f t="shared" si="10"/>
        <v>0.87306501547987614</v>
      </c>
      <c r="AM50" s="8">
        <f t="shared" si="10"/>
        <v>0.87616099071207432</v>
      </c>
      <c r="AN50" s="8">
        <f t="shared" si="10"/>
        <v>0.87616099071207432</v>
      </c>
      <c r="AO50" s="8">
        <f t="shared" si="10"/>
        <v>0.87616099071207432</v>
      </c>
      <c r="AP50" s="8">
        <f t="shared" si="10"/>
        <v>0.88235294117647056</v>
      </c>
      <c r="AQ50" s="8">
        <f t="shared" si="10"/>
        <v>0.88235294117647056</v>
      </c>
      <c r="AR50" s="8">
        <f t="shared" si="10"/>
        <v>0.88544891640866874</v>
      </c>
      <c r="AS50" s="8">
        <f t="shared" si="10"/>
        <v>0.88544891640866874</v>
      </c>
      <c r="AT50" s="8">
        <f t="shared" si="10"/>
        <v>0.88854489164086692</v>
      </c>
      <c r="AU50" s="8">
        <f t="shared" si="10"/>
        <v>0.92260061919504643</v>
      </c>
      <c r="AV50" s="8">
        <f t="shared" si="10"/>
        <v>0.92260061919504643</v>
      </c>
      <c r="AW50" s="8">
        <f t="shared" si="10"/>
        <v>0.92260061919504643</v>
      </c>
      <c r="AX50" s="8">
        <f t="shared" si="10"/>
        <v>0.92879256965944268</v>
      </c>
      <c r="AY50" s="8">
        <f t="shared" si="10"/>
        <v>0.94427244582043346</v>
      </c>
      <c r="AZ50" s="8">
        <f t="shared" si="10"/>
        <v>0.94736842105263153</v>
      </c>
      <c r="BA50" s="8">
        <f t="shared" si="10"/>
        <v>0.96594427244582048</v>
      </c>
      <c r="BB50" s="8">
        <f t="shared" si="10"/>
        <v>0.96904024767801855</v>
      </c>
      <c r="BC50" s="8">
        <f t="shared" si="10"/>
        <v>0.96904024767801855</v>
      </c>
      <c r="BD50" s="8">
        <f t="shared" si="10"/>
        <v>0.97523219814241491</v>
      </c>
      <c r="BE50" s="8">
        <f t="shared" si="10"/>
        <v>0.98452012383900933</v>
      </c>
      <c r="BF50" s="8">
        <f t="shared" si="10"/>
        <v>0.9876160990712074</v>
      </c>
      <c r="BG50" s="8">
        <f t="shared" si="10"/>
        <v>1</v>
      </c>
      <c r="BH50" s="8">
        <f t="shared" si="10"/>
        <v>1</v>
      </c>
    </row>
    <row r="51" spans="1:61" x14ac:dyDescent="0.25">
      <c r="A51" s="2"/>
      <c r="B51" s="2"/>
      <c r="D51" s="2"/>
      <c r="E51" s="2"/>
      <c r="F51" s="2"/>
    </row>
  </sheetData>
  <conditionalFormatting sqref="D3:D17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6:X46 D18:X23 Y26:BH40"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:AM23 D41:AM46 D26:BH40"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BH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3A509-F496-4DFF-BA22-882EB1352BA5}">
  <sheetPr codeName="Sheet4"/>
  <dimension ref="A1:CR51"/>
  <sheetViews>
    <sheetView workbookViewId="0"/>
  </sheetViews>
  <sheetFormatPr defaultRowHeight="15" x14ac:dyDescent="0.25"/>
  <sheetData>
    <row r="1" spans="1:95" x14ac:dyDescent="0.25">
      <c r="D1" s="2" t="s">
        <v>11</v>
      </c>
      <c r="E1">
        <v>0</v>
      </c>
      <c r="F1">
        <v>126</v>
      </c>
      <c r="G1">
        <v>126</v>
      </c>
      <c r="H1">
        <v>134</v>
      </c>
      <c r="I1">
        <v>135</v>
      </c>
      <c r="J1">
        <v>135</v>
      </c>
      <c r="K1">
        <v>143</v>
      </c>
      <c r="L1">
        <v>144</v>
      </c>
      <c r="M1">
        <v>145</v>
      </c>
      <c r="N1">
        <v>151</v>
      </c>
      <c r="O1">
        <v>152</v>
      </c>
      <c r="P1">
        <v>154</v>
      </c>
      <c r="Q1">
        <v>166</v>
      </c>
      <c r="R1">
        <v>163</v>
      </c>
      <c r="S1">
        <v>166</v>
      </c>
      <c r="T1">
        <v>166</v>
      </c>
      <c r="U1">
        <v>165</v>
      </c>
      <c r="V1">
        <v>166</v>
      </c>
      <c r="W1">
        <v>164</v>
      </c>
      <c r="X1">
        <v>165</v>
      </c>
      <c r="Y1">
        <v>165</v>
      </c>
      <c r="Z1">
        <v>173</v>
      </c>
      <c r="AA1">
        <v>194</v>
      </c>
      <c r="AB1">
        <v>194</v>
      </c>
      <c r="AC1">
        <v>194</v>
      </c>
      <c r="AD1">
        <v>216</v>
      </c>
      <c r="AE1">
        <v>216</v>
      </c>
      <c r="AF1">
        <v>216</v>
      </c>
      <c r="AG1">
        <v>218</v>
      </c>
      <c r="AH1">
        <v>218</v>
      </c>
      <c r="AI1">
        <v>219</v>
      </c>
      <c r="AJ1">
        <v>245</v>
      </c>
      <c r="AK1">
        <v>246</v>
      </c>
      <c r="AL1">
        <v>246</v>
      </c>
      <c r="AM1">
        <v>269</v>
      </c>
      <c r="AN1">
        <v>269</v>
      </c>
      <c r="AO1">
        <v>269</v>
      </c>
      <c r="AP1">
        <v>292</v>
      </c>
      <c r="AQ1">
        <v>292</v>
      </c>
      <c r="AR1">
        <v>292</v>
      </c>
      <c r="AS1">
        <v>292</v>
      </c>
      <c r="AT1">
        <v>293</v>
      </c>
      <c r="AU1">
        <v>293</v>
      </c>
      <c r="AV1">
        <v>294</v>
      </c>
      <c r="AW1">
        <v>293</v>
      </c>
      <c r="AX1">
        <v>293</v>
      </c>
      <c r="AY1">
        <v>293</v>
      </c>
      <c r="AZ1">
        <v>294</v>
      </c>
      <c r="BA1">
        <v>308</v>
      </c>
      <c r="BB1">
        <v>308</v>
      </c>
      <c r="BC1">
        <v>309</v>
      </c>
      <c r="BD1">
        <v>313</v>
      </c>
      <c r="BE1">
        <v>321</v>
      </c>
      <c r="BF1">
        <v>321</v>
      </c>
      <c r="BG1">
        <v>321</v>
      </c>
      <c r="BH1">
        <v>326</v>
      </c>
      <c r="BI1">
        <v>327</v>
      </c>
      <c r="BJ1">
        <v>327</v>
      </c>
      <c r="BK1">
        <v>329</v>
      </c>
      <c r="BL1">
        <v>330</v>
      </c>
      <c r="BM1">
        <v>328</v>
      </c>
      <c r="BN1">
        <v>329</v>
      </c>
      <c r="BO1">
        <v>332</v>
      </c>
      <c r="BP1">
        <v>334</v>
      </c>
      <c r="BQ1">
        <v>334</v>
      </c>
      <c r="BR1">
        <v>335</v>
      </c>
      <c r="BS1">
        <v>335</v>
      </c>
      <c r="BT1">
        <v>336</v>
      </c>
      <c r="BU1">
        <v>336</v>
      </c>
      <c r="BV1">
        <v>337</v>
      </c>
      <c r="BW1">
        <v>337</v>
      </c>
      <c r="BX1">
        <v>338</v>
      </c>
      <c r="BY1">
        <v>338</v>
      </c>
      <c r="BZ1">
        <v>338</v>
      </c>
      <c r="CA1">
        <v>339</v>
      </c>
      <c r="CB1">
        <v>339</v>
      </c>
      <c r="CC1">
        <v>339</v>
      </c>
      <c r="CD1">
        <v>339</v>
      </c>
      <c r="CE1">
        <v>340</v>
      </c>
      <c r="CF1">
        <v>340</v>
      </c>
      <c r="CG1">
        <v>339</v>
      </c>
      <c r="CH1">
        <v>340</v>
      </c>
      <c r="CI1">
        <v>339</v>
      </c>
      <c r="CJ1">
        <v>339</v>
      </c>
      <c r="CK1">
        <v>339</v>
      </c>
      <c r="CL1">
        <v>337</v>
      </c>
      <c r="CM1">
        <v>337</v>
      </c>
      <c r="CN1">
        <v>344</v>
      </c>
      <c r="CO1">
        <v>346</v>
      </c>
      <c r="CP1">
        <v>346</v>
      </c>
      <c r="CQ1">
        <v>346</v>
      </c>
    </row>
    <row r="2" spans="1:95" x14ac:dyDescent="0.25">
      <c r="A2" s="2" t="s">
        <v>10</v>
      </c>
      <c r="B2" s="2" t="s">
        <v>2</v>
      </c>
      <c r="C2" s="2" t="s">
        <v>37</v>
      </c>
      <c r="D2" s="2" t="s">
        <v>33</v>
      </c>
      <c r="E2">
        <f t="shared" ref="E2:W2" si="0">30+E1/2</f>
        <v>30</v>
      </c>
      <c r="F2">
        <f t="shared" si="0"/>
        <v>93</v>
      </c>
      <c r="G2">
        <f t="shared" si="0"/>
        <v>93</v>
      </c>
      <c r="H2">
        <f t="shared" si="0"/>
        <v>97</v>
      </c>
      <c r="I2">
        <f t="shared" si="0"/>
        <v>97.5</v>
      </c>
      <c r="J2">
        <f t="shared" si="0"/>
        <v>97.5</v>
      </c>
      <c r="K2">
        <f t="shared" si="0"/>
        <v>101.5</v>
      </c>
      <c r="L2">
        <f t="shared" si="0"/>
        <v>102</v>
      </c>
      <c r="M2">
        <f t="shared" si="0"/>
        <v>102.5</v>
      </c>
      <c r="N2">
        <f t="shared" si="0"/>
        <v>105.5</v>
      </c>
      <c r="O2">
        <f t="shared" si="0"/>
        <v>106</v>
      </c>
      <c r="P2">
        <f t="shared" si="0"/>
        <v>107</v>
      </c>
      <c r="Q2">
        <f t="shared" si="0"/>
        <v>113</v>
      </c>
      <c r="R2">
        <f t="shared" si="0"/>
        <v>111.5</v>
      </c>
      <c r="S2">
        <f t="shared" si="0"/>
        <v>113</v>
      </c>
      <c r="T2">
        <f t="shared" si="0"/>
        <v>113</v>
      </c>
      <c r="U2">
        <f t="shared" si="0"/>
        <v>112.5</v>
      </c>
      <c r="V2">
        <f t="shared" si="0"/>
        <v>113</v>
      </c>
      <c r="W2">
        <f t="shared" si="0"/>
        <v>112</v>
      </c>
      <c r="X2">
        <f t="shared" ref="X2:CI2" si="1">30+X1/2</f>
        <v>112.5</v>
      </c>
      <c r="Y2">
        <f t="shared" si="1"/>
        <v>112.5</v>
      </c>
      <c r="Z2">
        <f t="shared" si="1"/>
        <v>116.5</v>
      </c>
      <c r="AA2">
        <f t="shared" si="1"/>
        <v>127</v>
      </c>
      <c r="AB2">
        <f t="shared" si="1"/>
        <v>127</v>
      </c>
      <c r="AC2">
        <f t="shared" si="1"/>
        <v>127</v>
      </c>
      <c r="AD2">
        <f t="shared" si="1"/>
        <v>138</v>
      </c>
      <c r="AE2">
        <f t="shared" si="1"/>
        <v>138</v>
      </c>
      <c r="AF2">
        <f t="shared" si="1"/>
        <v>138</v>
      </c>
      <c r="AG2">
        <f t="shared" si="1"/>
        <v>139</v>
      </c>
      <c r="AH2">
        <f t="shared" si="1"/>
        <v>139</v>
      </c>
      <c r="AI2">
        <f t="shared" si="1"/>
        <v>139.5</v>
      </c>
      <c r="AJ2">
        <f t="shared" si="1"/>
        <v>152.5</v>
      </c>
      <c r="AK2">
        <f t="shared" si="1"/>
        <v>153</v>
      </c>
      <c r="AL2">
        <f t="shared" si="1"/>
        <v>153</v>
      </c>
      <c r="AM2">
        <f t="shared" si="1"/>
        <v>164.5</v>
      </c>
      <c r="AN2">
        <f t="shared" si="1"/>
        <v>164.5</v>
      </c>
      <c r="AO2">
        <f t="shared" si="1"/>
        <v>164.5</v>
      </c>
      <c r="AP2">
        <f t="shared" si="1"/>
        <v>176</v>
      </c>
      <c r="AQ2">
        <f t="shared" si="1"/>
        <v>176</v>
      </c>
      <c r="AR2">
        <f t="shared" si="1"/>
        <v>176</v>
      </c>
      <c r="AS2">
        <f t="shared" si="1"/>
        <v>176</v>
      </c>
      <c r="AT2">
        <f t="shared" si="1"/>
        <v>176.5</v>
      </c>
      <c r="AU2">
        <f t="shared" si="1"/>
        <v>176.5</v>
      </c>
      <c r="AV2">
        <f t="shared" si="1"/>
        <v>177</v>
      </c>
      <c r="AW2">
        <f t="shared" si="1"/>
        <v>176.5</v>
      </c>
      <c r="AX2">
        <f t="shared" si="1"/>
        <v>176.5</v>
      </c>
      <c r="AY2">
        <f t="shared" si="1"/>
        <v>176.5</v>
      </c>
      <c r="AZ2">
        <f t="shared" si="1"/>
        <v>177</v>
      </c>
      <c r="BA2">
        <f t="shared" si="1"/>
        <v>184</v>
      </c>
      <c r="BB2">
        <f t="shared" si="1"/>
        <v>184</v>
      </c>
      <c r="BC2">
        <f t="shared" si="1"/>
        <v>184.5</v>
      </c>
      <c r="BD2">
        <f t="shared" si="1"/>
        <v>186.5</v>
      </c>
      <c r="BE2">
        <f t="shared" si="1"/>
        <v>190.5</v>
      </c>
      <c r="BF2">
        <f t="shared" si="1"/>
        <v>190.5</v>
      </c>
      <c r="BG2">
        <f t="shared" si="1"/>
        <v>190.5</v>
      </c>
      <c r="BH2">
        <f t="shared" si="1"/>
        <v>193</v>
      </c>
      <c r="BI2">
        <f t="shared" si="1"/>
        <v>193.5</v>
      </c>
      <c r="BJ2">
        <f t="shared" si="1"/>
        <v>193.5</v>
      </c>
      <c r="BK2">
        <f t="shared" si="1"/>
        <v>194.5</v>
      </c>
      <c r="BL2">
        <f t="shared" si="1"/>
        <v>195</v>
      </c>
      <c r="BM2">
        <f t="shared" si="1"/>
        <v>194</v>
      </c>
      <c r="BN2">
        <f t="shared" si="1"/>
        <v>194.5</v>
      </c>
      <c r="BO2">
        <f t="shared" si="1"/>
        <v>196</v>
      </c>
      <c r="BP2">
        <f t="shared" si="1"/>
        <v>197</v>
      </c>
      <c r="BQ2">
        <f t="shared" si="1"/>
        <v>197</v>
      </c>
      <c r="BR2">
        <f t="shared" si="1"/>
        <v>197.5</v>
      </c>
      <c r="BS2">
        <f t="shared" si="1"/>
        <v>197.5</v>
      </c>
      <c r="BT2">
        <f t="shared" si="1"/>
        <v>198</v>
      </c>
      <c r="BU2">
        <f t="shared" si="1"/>
        <v>198</v>
      </c>
      <c r="BV2">
        <f t="shared" si="1"/>
        <v>198.5</v>
      </c>
      <c r="BW2">
        <f t="shared" si="1"/>
        <v>198.5</v>
      </c>
      <c r="BX2">
        <f t="shared" si="1"/>
        <v>199</v>
      </c>
      <c r="BY2">
        <f t="shared" si="1"/>
        <v>199</v>
      </c>
      <c r="BZ2">
        <f t="shared" si="1"/>
        <v>199</v>
      </c>
      <c r="CA2">
        <f t="shared" si="1"/>
        <v>199.5</v>
      </c>
      <c r="CB2">
        <f t="shared" si="1"/>
        <v>199.5</v>
      </c>
      <c r="CC2">
        <f t="shared" si="1"/>
        <v>199.5</v>
      </c>
      <c r="CD2">
        <f t="shared" si="1"/>
        <v>199.5</v>
      </c>
      <c r="CE2">
        <f t="shared" si="1"/>
        <v>200</v>
      </c>
      <c r="CF2">
        <f t="shared" si="1"/>
        <v>200</v>
      </c>
      <c r="CG2">
        <f t="shared" si="1"/>
        <v>199.5</v>
      </c>
      <c r="CH2">
        <f t="shared" si="1"/>
        <v>200</v>
      </c>
      <c r="CI2">
        <f t="shared" si="1"/>
        <v>199.5</v>
      </c>
      <c r="CJ2">
        <f t="shared" ref="CJ2:CQ2" si="2">30+CJ1/2</f>
        <v>199.5</v>
      </c>
      <c r="CK2">
        <f t="shared" si="2"/>
        <v>199.5</v>
      </c>
      <c r="CL2">
        <f t="shared" si="2"/>
        <v>198.5</v>
      </c>
      <c r="CM2">
        <f t="shared" si="2"/>
        <v>198.5</v>
      </c>
      <c r="CN2">
        <f t="shared" si="2"/>
        <v>202</v>
      </c>
      <c r="CO2">
        <f t="shared" si="2"/>
        <v>203</v>
      </c>
      <c r="CP2">
        <f t="shared" si="2"/>
        <v>203</v>
      </c>
      <c r="CQ2">
        <f t="shared" si="2"/>
        <v>203</v>
      </c>
    </row>
    <row r="3" spans="1:95" x14ac:dyDescent="0.25">
      <c r="A3">
        <v>3.44809138775048</v>
      </c>
      <c r="B3">
        <f>1.158*A3</f>
        <v>3.9928898270150555</v>
      </c>
      <c r="C3">
        <f>1/A3</f>
        <v>0.29001551512020557</v>
      </c>
      <c r="E3">
        <v>0</v>
      </c>
      <c r="F3">
        <v>9.6914500000000001E-2</v>
      </c>
      <c r="G3">
        <v>9.1724E-2</v>
      </c>
      <c r="H3">
        <v>0.72158949999999999</v>
      </c>
      <c r="I3">
        <v>0.72212825000000003</v>
      </c>
      <c r="J3">
        <v>0.63746499999999995</v>
      </c>
      <c r="K3">
        <v>0.56379000000000001</v>
      </c>
      <c r="L3">
        <v>0.83152174999999995</v>
      </c>
      <c r="M3">
        <v>0.84141900000000003</v>
      </c>
      <c r="N3">
        <v>0.70343750000000005</v>
      </c>
      <c r="O3">
        <v>0.90917999999999999</v>
      </c>
      <c r="P3">
        <v>0.91796750000000005</v>
      </c>
      <c r="Q3">
        <v>1.0343074999999999</v>
      </c>
      <c r="R3">
        <v>0.82544499999999998</v>
      </c>
      <c r="S3">
        <v>0.97081499999999998</v>
      </c>
      <c r="T3">
        <v>1.090365</v>
      </c>
      <c r="U3">
        <v>1.0936952499999999</v>
      </c>
      <c r="V3">
        <v>1.0870115</v>
      </c>
      <c r="W3">
        <v>1.1353545</v>
      </c>
      <c r="X3">
        <v>1.1371785000000001</v>
      </c>
      <c r="Y3">
        <v>1.0687150000000001</v>
      </c>
      <c r="Z3">
        <v>1.1862410000000001</v>
      </c>
      <c r="AA3">
        <v>1.1316225</v>
      </c>
      <c r="AB3">
        <v>1.1292599999999999</v>
      </c>
      <c r="AC3">
        <v>1.1914450000000001</v>
      </c>
      <c r="AD3">
        <v>1.26797</v>
      </c>
      <c r="AE3">
        <v>1.2698725</v>
      </c>
      <c r="AF3">
        <v>1.1521375</v>
      </c>
      <c r="AG3">
        <v>1.3136675</v>
      </c>
      <c r="AH3">
        <v>1.4161925</v>
      </c>
      <c r="AI3">
        <v>1.3255600000000001</v>
      </c>
      <c r="AJ3">
        <v>1.4778899999999999</v>
      </c>
      <c r="AK3">
        <v>1.5733425000000001</v>
      </c>
      <c r="AL3">
        <v>1.56904</v>
      </c>
      <c r="AM3">
        <v>1.7892874999999999</v>
      </c>
      <c r="AN3">
        <v>1.7194849999999999</v>
      </c>
      <c r="AO3">
        <v>1.8152725000000001</v>
      </c>
      <c r="AP3">
        <v>1.88581</v>
      </c>
      <c r="AQ3">
        <v>1.88605</v>
      </c>
      <c r="AR3">
        <v>1.740415</v>
      </c>
      <c r="AS3">
        <v>1.7280899999999999</v>
      </c>
      <c r="AT3">
        <v>1.8147899999999999</v>
      </c>
      <c r="AU3">
        <v>1.811725</v>
      </c>
      <c r="AV3">
        <v>1.8175625</v>
      </c>
      <c r="AW3">
        <v>1.7831375</v>
      </c>
      <c r="AX3">
        <v>1.8739725</v>
      </c>
      <c r="AY3">
        <v>1.950245</v>
      </c>
      <c r="AZ3">
        <v>1.8333999999999999</v>
      </c>
      <c r="BA3">
        <v>2.059415</v>
      </c>
      <c r="BB3">
        <v>1.8322400000000001</v>
      </c>
      <c r="BC3">
        <v>1.9583225</v>
      </c>
      <c r="BD3">
        <v>1.9821800000000001</v>
      </c>
      <c r="BE3">
        <v>2.1547125</v>
      </c>
      <c r="BF3">
        <v>2.0438675000000002</v>
      </c>
      <c r="BG3">
        <v>2.12262</v>
      </c>
      <c r="BH3">
        <v>2.104555</v>
      </c>
      <c r="BI3">
        <v>2.1045725000000002</v>
      </c>
      <c r="BJ3">
        <v>2.0437924999999999</v>
      </c>
      <c r="BK3">
        <v>2.2048624999999999</v>
      </c>
      <c r="BL3">
        <v>2.0527850000000001</v>
      </c>
      <c r="BM3">
        <v>2.1558475000000001</v>
      </c>
      <c r="BN3">
        <v>2.0905775000000002</v>
      </c>
      <c r="BO3">
        <v>2.2850025</v>
      </c>
      <c r="BP3">
        <v>2.1953499999999999</v>
      </c>
      <c r="BQ3">
        <v>2.2040899999999999</v>
      </c>
      <c r="BR3">
        <v>2.3149899999999999</v>
      </c>
      <c r="BS3">
        <v>2.3195049999999999</v>
      </c>
      <c r="BT3">
        <v>2.2251075</v>
      </c>
      <c r="BU3">
        <v>2.4279275</v>
      </c>
      <c r="BV3">
        <v>2.2023799999999998</v>
      </c>
      <c r="BW3">
        <v>2.2001249999999999</v>
      </c>
      <c r="BX3">
        <v>2.2931149999999998</v>
      </c>
      <c r="BY3">
        <v>2.2353624999999999</v>
      </c>
      <c r="BZ3">
        <v>2.4295225</v>
      </c>
      <c r="CA3">
        <v>2.4298600000000001</v>
      </c>
      <c r="CB3">
        <v>2.2600324999999999</v>
      </c>
      <c r="CC3">
        <v>2.3563399999999999</v>
      </c>
      <c r="CD3">
        <v>2.3587025000000001</v>
      </c>
      <c r="CE3">
        <v>2.2608025</v>
      </c>
      <c r="CF3">
        <v>2.3838225</v>
      </c>
      <c r="CG3">
        <v>2.3868225000000001</v>
      </c>
      <c r="CH3">
        <v>2.3940774999999999</v>
      </c>
      <c r="CI3">
        <v>2.3959324999999998</v>
      </c>
      <c r="CJ3">
        <v>2.3873224999999998</v>
      </c>
      <c r="CK3">
        <v>2.2807474999999999</v>
      </c>
      <c r="CL3">
        <v>2.3997350000000002</v>
      </c>
      <c r="CM3">
        <v>2.2972275</v>
      </c>
      <c r="CN3">
        <v>2.3675600000000001</v>
      </c>
      <c r="CO3">
        <v>2.5023599999999999</v>
      </c>
      <c r="CP3">
        <v>2.5673149999999998</v>
      </c>
      <c r="CQ3">
        <v>2.56351</v>
      </c>
    </row>
    <row r="4" spans="1:95" x14ac:dyDescent="0.25">
      <c r="A4">
        <v>3.3617356019128302</v>
      </c>
      <c r="B4">
        <f t="shared" ref="B4:B22" si="3">1.158*A4</f>
        <v>3.8928898270150571</v>
      </c>
      <c r="C4">
        <f t="shared" ref="C4:C22" si="4">1/A4</f>
        <v>0.29746539240950398</v>
      </c>
      <c r="E4">
        <v>0</v>
      </c>
      <c r="F4">
        <v>8.9095499999999994E-2</v>
      </c>
      <c r="G4">
        <v>8.5148000000000001E-2</v>
      </c>
      <c r="H4">
        <v>0.55506500000000003</v>
      </c>
      <c r="I4">
        <v>0.55389500000000003</v>
      </c>
      <c r="J4">
        <v>0.48377249999999999</v>
      </c>
      <c r="K4">
        <v>0.42669750000000001</v>
      </c>
      <c r="L4">
        <v>0.66732749999999996</v>
      </c>
      <c r="M4">
        <v>0.67476250000000004</v>
      </c>
      <c r="N4">
        <v>0.57718000000000003</v>
      </c>
      <c r="O4">
        <v>0.75530000000000097</v>
      </c>
      <c r="P4">
        <v>0.76360749999999999</v>
      </c>
      <c r="Q4">
        <v>0.95738000000000001</v>
      </c>
      <c r="R4">
        <v>0.77761749999999996</v>
      </c>
      <c r="S4">
        <v>0.90184750000000002</v>
      </c>
      <c r="T4">
        <v>1.0017575000000001</v>
      </c>
      <c r="U4">
        <v>1.0038899999999999</v>
      </c>
      <c r="V4">
        <v>0.99788250000000001</v>
      </c>
      <c r="W4">
        <v>1.043695</v>
      </c>
      <c r="X4">
        <v>1.0459175000000001</v>
      </c>
      <c r="Y4">
        <v>0.98484749999999999</v>
      </c>
      <c r="Z4">
        <v>1.0876349999999999</v>
      </c>
      <c r="AA4">
        <v>1.041655</v>
      </c>
      <c r="AB4">
        <v>1.0372125000000001</v>
      </c>
      <c r="AC4">
        <v>1.091715</v>
      </c>
      <c r="AD4">
        <v>1.1657</v>
      </c>
      <c r="AE4">
        <v>1.168285</v>
      </c>
      <c r="AF4">
        <v>1.0673975</v>
      </c>
      <c r="AG4">
        <v>1.207535</v>
      </c>
      <c r="AH4">
        <v>1.3017775</v>
      </c>
      <c r="AI4">
        <v>1.2219575</v>
      </c>
      <c r="AJ4">
        <v>1.3609975000000001</v>
      </c>
      <c r="AK4">
        <v>1.4396525</v>
      </c>
      <c r="AL4">
        <v>1.4351674999999999</v>
      </c>
      <c r="AM4">
        <v>1.6396675000000001</v>
      </c>
      <c r="AN4">
        <v>1.5785149999999999</v>
      </c>
      <c r="AO4">
        <v>1.6620375000000001</v>
      </c>
      <c r="AP4">
        <v>1.7305824999999999</v>
      </c>
      <c r="AQ4">
        <v>1.731865</v>
      </c>
      <c r="AR4">
        <v>1.6082775</v>
      </c>
      <c r="AS4">
        <v>1.5957250000000001</v>
      </c>
      <c r="AT4">
        <v>1.6689175000000001</v>
      </c>
      <c r="AU4">
        <v>1.6684725</v>
      </c>
      <c r="AV4">
        <v>1.6737575</v>
      </c>
      <c r="AW4">
        <v>1.6468024999999999</v>
      </c>
      <c r="AX4">
        <v>1.7270825000000001</v>
      </c>
      <c r="AY4">
        <v>1.7904450000000001</v>
      </c>
      <c r="AZ4">
        <v>1.6964049999999999</v>
      </c>
      <c r="BA4">
        <v>1.8912</v>
      </c>
      <c r="BB4">
        <v>1.6945699999999999</v>
      </c>
      <c r="BC4">
        <v>1.8061225000000001</v>
      </c>
      <c r="BD4">
        <v>1.8224875</v>
      </c>
      <c r="BE4">
        <v>1.9782025000000001</v>
      </c>
      <c r="BF4">
        <v>1.8818600000000001</v>
      </c>
      <c r="BG4">
        <v>1.951365</v>
      </c>
      <c r="BH4">
        <v>1.9370375</v>
      </c>
      <c r="BI4">
        <v>1.938955</v>
      </c>
      <c r="BJ4">
        <v>1.883235</v>
      </c>
      <c r="BK4">
        <v>2.0255899999999998</v>
      </c>
      <c r="BL4">
        <v>1.8952899999999999</v>
      </c>
      <c r="BM4">
        <v>1.9847325</v>
      </c>
      <c r="BN4">
        <v>1.9309149999999999</v>
      </c>
      <c r="BO4">
        <v>2.0956424999999999</v>
      </c>
      <c r="BP4">
        <v>2.0191249999999998</v>
      </c>
      <c r="BQ4">
        <v>2.0297049999999999</v>
      </c>
      <c r="BR4">
        <v>2.1245525000000001</v>
      </c>
      <c r="BS4">
        <v>2.1290925000000001</v>
      </c>
      <c r="BT4">
        <v>2.0477025000000002</v>
      </c>
      <c r="BU4">
        <v>2.2206475000000001</v>
      </c>
      <c r="BV4">
        <v>2.0249275</v>
      </c>
      <c r="BW4">
        <v>2.0245099999999998</v>
      </c>
      <c r="BX4">
        <v>2.1032199999999999</v>
      </c>
      <c r="BY4">
        <v>2.0552225000000002</v>
      </c>
      <c r="BZ4">
        <v>2.2254075000000002</v>
      </c>
      <c r="CA4">
        <v>2.2274875000000001</v>
      </c>
      <c r="CB4">
        <v>2.0778124999999998</v>
      </c>
      <c r="CC4">
        <v>2.1653099999999998</v>
      </c>
      <c r="CD4">
        <v>2.1675900000000001</v>
      </c>
      <c r="CE4">
        <v>2.0845025000000001</v>
      </c>
      <c r="CF4">
        <v>2.1897000000000002</v>
      </c>
      <c r="CG4">
        <v>2.1909450000000001</v>
      </c>
      <c r="CH4">
        <v>2.1979799999999998</v>
      </c>
      <c r="CI4">
        <v>2.1978675000000001</v>
      </c>
      <c r="CJ4">
        <v>2.1889025000000002</v>
      </c>
      <c r="CK4">
        <v>2.09951</v>
      </c>
      <c r="CL4">
        <v>2.20479</v>
      </c>
      <c r="CM4">
        <v>2.1146725000000002</v>
      </c>
      <c r="CN4">
        <v>2.1784824999999999</v>
      </c>
      <c r="CO4">
        <v>2.2970350000000002</v>
      </c>
      <c r="CP4">
        <v>2.353135</v>
      </c>
      <c r="CQ4">
        <v>2.3500450000000002</v>
      </c>
    </row>
    <row r="5" spans="1:95" x14ac:dyDescent="0.25">
      <c r="A5">
        <v>3.2753798160751799</v>
      </c>
      <c r="B5">
        <f t="shared" si="3"/>
        <v>3.7928898270150579</v>
      </c>
      <c r="C5">
        <f t="shared" si="4"/>
        <v>0.30530810353416643</v>
      </c>
      <c r="E5">
        <v>0</v>
      </c>
      <c r="F5">
        <v>8.1009249999999894E-2</v>
      </c>
      <c r="G5">
        <v>7.7037250000000002E-2</v>
      </c>
      <c r="H5">
        <v>0.46431</v>
      </c>
      <c r="I5">
        <v>0.46510499999999999</v>
      </c>
      <c r="J5">
        <v>0.40173249999999999</v>
      </c>
      <c r="K5">
        <v>0.36517250000000001</v>
      </c>
      <c r="L5">
        <v>0.5726</v>
      </c>
      <c r="M5">
        <v>0.58012249999999999</v>
      </c>
      <c r="N5">
        <v>0.51015999999999995</v>
      </c>
      <c r="O5">
        <v>0.66762999999999995</v>
      </c>
      <c r="P5">
        <v>0.67610000000000003</v>
      </c>
      <c r="Q5">
        <v>0.89775249999999995</v>
      </c>
      <c r="R5">
        <v>0.73670999999999998</v>
      </c>
      <c r="S5">
        <v>0.84547499999999998</v>
      </c>
      <c r="T5">
        <v>0.94016250000000001</v>
      </c>
      <c r="U5">
        <v>0.94197500000000001</v>
      </c>
      <c r="V5">
        <v>0.93839499999999998</v>
      </c>
      <c r="W5">
        <v>0.97906249999999995</v>
      </c>
      <c r="X5">
        <v>0.980105</v>
      </c>
      <c r="Y5">
        <v>0.92787750000000002</v>
      </c>
      <c r="Z5">
        <v>1.0200549999999999</v>
      </c>
      <c r="AA5">
        <v>0.98466750000000003</v>
      </c>
      <c r="AB5">
        <v>0.9787825</v>
      </c>
      <c r="AC5">
        <v>1.0310925</v>
      </c>
      <c r="AD5">
        <v>1.1055474999999999</v>
      </c>
      <c r="AE5">
        <v>1.1052424999999999</v>
      </c>
      <c r="AF5">
        <v>1.0141074999999999</v>
      </c>
      <c r="AG5">
        <v>1.1486175000000001</v>
      </c>
      <c r="AH5">
        <v>1.2291675</v>
      </c>
      <c r="AI5">
        <v>1.15734</v>
      </c>
      <c r="AJ5">
        <v>1.2927850000000001</v>
      </c>
      <c r="AK5">
        <v>1.36056</v>
      </c>
      <c r="AL5">
        <v>1.35971</v>
      </c>
      <c r="AM5">
        <v>1.5509225</v>
      </c>
      <c r="AN5">
        <v>1.5010950000000001</v>
      </c>
      <c r="AO5">
        <v>1.5724199999999999</v>
      </c>
      <c r="AP5">
        <v>1.6476225</v>
      </c>
      <c r="AQ5">
        <v>1.64533</v>
      </c>
      <c r="AR5">
        <v>1.5360425</v>
      </c>
      <c r="AS5">
        <v>1.5245299999999999</v>
      </c>
      <c r="AT5">
        <v>1.5932575</v>
      </c>
      <c r="AU5">
        <v>1.595485</v>
      </c>
      <c r="AV5">
        <v>1.5977749999999999</v>
      </c>
      <c r="AW5">
        <v>1.5797275</v>
      </c>
      <c r="AX5">
        <v>1.649905</v>
      </c>
      <c r="AY5">
        <v>1.706955</v>
      </c>
      <c r="AZ5">
        <v>1.6195425000000001</v>
      </c>
      <c r="BA5">
        <v>1.80609</v>
      </c>
      <c r="BB5">
        <v>1.6281574999999999</v>
      </c>
      <c r="BC5">
        <v>1.7288574999999999</v>
      </c>
      <c r="BD5">
        <v>1.7493475000000001</v>
      </c>
      <c r="BE5">
        <v>1.8913800000000001</v>
      </c>
      <c r="BF5">
        <v>1.81027</v>
      </c>
      <c r="BG5">
        <v>1.868045</v>
      </c>
      <c r="BH5">
        <v>1.86059</v>
      </c>
      <c r="BI5">
        <v>1.8602775</v>
      </c>
      <c r="BJ5">
        <v>1.8135749999999999</v>
      </c>
      <c r="BK5">
        <v>1.9376899999999999</v>
      </c>
      <c r="BL5">
        <v>1.8247875</v>
      </c>
      <c r="BM5">
        <v>1.9099950000000001</v>
      </c>
      <c r="BN5">
        <v>1.8595524999999999</v>
      </c>
      <c r="BO5">
        <v>2.0097849999999999</v>
      </c>
      <c r="BP5">
        <v>1.9417125</v>
      </c>
      <c r="BQ5">
        <v>1.9534050000000001</v>
      </c>
      <c r="BR5">
        <v>2.0391750000000002</v>
      </c>
      <c r="BS5">
        <v>2.0424349999999998</v>
      </c>
      <c r="BT5">
        <v>1.97329</v>
      </c>
      <c r="BU5">
        <v>2.1256925</v>
      </c>
      <c r="BV5">
        <v>1.951865</v>
      </c>
      <c r="BW5">
        <v>1.95238</v>
      </c>
      <c r="BX5">
        <v>2.0241699999999998</v>
      </c>
      <c r="BY5">
        <v>1.983625</v>
      </c>
      <c r="BZ5">
        <v>2.132755</v>
      </c>
      <c r="CA5">
        <v>2.1331774999999999</v>
      </c>
      <c r="CB5">
        <v>2.00074</v>
      </c>
      <c r="CC5">
        <v>2.0763924999999999</v>
      </c>
      <c r="CD5">
        <v>2.08175</v>
      </c>
      <c r="CE5">
        <v>2.0069675</v>
      </c>
      <c r="CF5">
        <v>2.10371</v>
      </c>
      <c r="CG5">
        <v>2.1018050000000001</v>
      </c>
      <c r="CH5">
        <v>2.1142949999999998</v>
      </c>
      <c r="CI5">
        <v>2.1121325</v>
      </c>
      <c r="CJ5">
        <v>2.1050125</v>
      </c>
      <c r="CK5">
        <v>2.0259374999999999</v>
      </c>
      <c r="CL5">
        <v>2.1178275000000002</v>
      </c>
      <c r="CM5">
        <v>2.0433400000000002</v>
      </c>
      <c r="CN5">
        <v>2.1044700000000001</v>
      </c>
      <c r="CO5">
        <v>2.2102599999999999</v>
      </c>
      <c r="CP5">
        <v>2.2651949999999998</v>
      </c>
      <c r="CQ5">
        <v>2.2620849999999999</v>
      </c>
    </row>
    <row r="6" spans="1:95" x14ac:dyDescent="0.25">
      <c r="A6">
        <v>3.1890240302375199</v>
      </c>
      <c r="B6">
        <f t="shared" si="3"/>
        <v>3.6928898270150476</v>
      </c>
      <c r="C6">
        <f t="shared" si="4"/>
        <v>0.31357556121191082</v>
      </c>
      <c r="E6">
        <v>0</v>
      </c>
      <c r="F6">
        <v>6.9070000000000006E-2</v>
      </c>
      <c r="G6">
        <v>6.7736749999999998E-2</v>
      </c>
      <c r="H6">
        <v>0.3462075</v>
      </c>
      <c r="I6">
        <v>0.34559499999999999</v>
      </c>
      <c r="J6">
        <v>0.28515499999999999</v>
      </c>
      <c r="K6">
        <v>0.24987999999999999</v>
      </c>
      <c r="L6">
        <v>0.43660500000000002</v>
      </c>
      <c r="M6">
        <v>0.44722499999999998</v>
      </c>
      <c r="N6">
        <v>0.38438</v>
      </c>
      <c r="O6">
        <v>0.52690499999999996</v>
      </c>
      <c r="P6">
        <v>0.53528750000000003</v>
      </c>
      <c r="Q6">
        <v>0.83804999999999996</v>
      </c>
      <c r="R6">
        <v>0.68766000000000005</v>
      </c>
      <c r="S6">
        <v>0.78725999999999996</v>
      </c>
      <c r="T6">
        <v>0.96567749999999997</v>
      </c>
      <c r="U6">
        <v>0.97377250000000004</v>
      </c>
      <c r="V6">
        <v>0.97511749999999997</v>
      </c>
      <c r="W6">
        <v>1.0320549999999999</v>
      </c>
      <c r="X6">
        <v>1.0318849999999999</v>
      </c>
      <c r="Y6">
        <v>0.98468750000000005</v>
      </c>
      <c r="Z6">
        <v>1.0794049999999999</v>
      </c>
      <c r="AA6">
        <v>1.0619525000000001</v>
      </c>
      <c r="AB6">
        <v>1.0602875</v>
      </c>
      <c r="AC6">
        <v>1.1055075000000001</v>
      </c>
      <c r="AD6">
        <v>1.1783950000000001</v>
      </c>
      <c r="AE6">
        <v>1.1783275</v>
      </c>
      <c r="AF6">
        <v>1.0946225000000001</v>
      </c>
      <c r="AG6">
        <v>1.2197249999999999</v>
      </c>
      <c r="AH6">
        <v>1.2953399999999999</v>
      </c>
      <c r="AI6">
        <v>1.2276374999999999</v>
      </c>
      <c r="AJ6">
        <v>1.3489275000000001</v>
      </c>
      <c r="AK6">
        <v>1.41012</v>
      </c>
      <c r="AL6">
        <v>1.4130374999999999</v>
      </c>
      <c r="AM6">
        <v>1.5945974999999999</v>
      </c>
      <c r="AN6">
        <v>1.55263</v>
      </c>
      <c r="AO6">
        <v>1.6129724999999999</v>
      </c>
      <c r="AP6">
        <v>1.6830025</v>
      </c>
      <c r="AQ6">
        <v>1.6845000000000001</v>
      </c>
      <c r="AR6">
        <v>1.58534</v>
      </c>
      <c r="AS6">
        <v>1.5748475</v>
      </c>
      <c r="AT6">
        <v>1.6421250000000001</v>
      </c>
      <c r="AU6">
        <v>1.643575</v>
      </c>
      <c r="AV6">
        <v>1.6439425000000001</v>
      </c>
      <c r="AW6">
        <v>1.6252774999999999</v>
      </c>
      <c r="AX6">
        <v>1.6886924999999999</v>
      </c>
      <c r="AY6">
        <v>1.745485</v>
      </c>
      <c r="AZ6">
        <v>1.663535</v>
      </c>
      <c r="BA6">
        <v>1.8373299999999999</v>
      </c>
      <c r="BB6">
        <v>1.6743399999999999</v>
      </c>
      <c r="BC6">
        <v>1.7668675</v>
      </c>
      <c r="BD6">
        <v>1.7831349999999999</v>
      </c>
      <c r="BE6">
        <v>1.9128075</v>
      </c>
      <c r="BF6">
        <v>1.8421025</v>
      </c>
      <c r="BG6">
        <v>1.8872875</v>
      </c>
      <c r="BH6">
        <v>1.8793724999999999</v>
      </c>
      <c r="BI6">
        <v>1.8779300000000001</v>
      </c>
      <c r="BJ6">
        <v>1.8349299999999999</v>
      </c>
      <c r="BK6">
        <v>1.949495</v>
      </c>
      <c r="BL6">
        <v>1.8451225</v>
      </c>
      <c r="BM6">
        <v>1.9180524999999999</v>
      </c>
      <c r="BN6">
        <v>1.8710774999999999</v>
      </c>
      <c r="BO6">
        <v>2.0063149999999998</v>
      </c>
      <c r="BP6">
        <v>1.9458949999999999</v>
      </c>
      <c r="BQ6">
        <v>1.9574125</v>
      </c>
      <c r="BR6">
        <v>2.0351925</v>
      </c>
      <c r="BS6">
        <v>2.0360874999999998</v>
      </c>
      <c r="BT6">
        <v>1.9724999999999999</v>
      </c>
      <c r="BU6">
        <v>2.1145649999999998</v>
      </c>
      <c r="BV6">
        <v>1.9575275000000001</v>
      </c>
      <c r="BW6">
        <v>1.9592875000000001</v>
      </c>
      <c r="BX6">
        <v>2.0216224999999999</v>
      </c>
      <c r="BY6">
        <v>1.9839724999999999</v>
      </c>
      <c r="BZ6">
        <v>2.1243474999999998</v>
      </c>
      <c r="CA6">
        <v>2.1252599999999999</v>
      </c>
      <c r="CB6">
        <v>2.0044</v>
      </c>
      <c r="CC6">
        <v>2.0748125000000002</v>
      </c>
      <c r="CD6">
        <v>2.0782625000000001</v>
      </c>
      <c r="CE6">
        <v>2.0126075000000001</v>
      </c>
      <c r="CF6">
        <v>2.101585</v>
      </c>
      <c r="CG6">
        <v>2.0974374999999998</v>
      </c>
      <c r="CH6">
        <v>2.1077474999999999</v>
      </c>
      <c r="CI6">
        <v>2.1065725</v>
      </c>
      <c r="CJ6">
        <v>2.1013774999999999</v>
      </c>
      <c r="CK6">
        <v>2.0290525000000001</v>
      </c>
      <c r="CL6">
        <v>2.1173649999999999</v>
      </c>
      <c r="CM6">
        <v>2.04366</v>
      </c>
      <c r="CN6">
        <v>2.1009350000000002</v>
      </c>
      <c r="CO6">
        <v>2.1992924999999999</v>
      </c>
      <c r="CP6">
        <v>2.2485024999999998</v>
      </c>
      <c r="CQ6">
        <v>2.2461850000000001</v>
      </c>
    </row>
    <row r="7" spans="1:95" x14ac:dyDescent="0.25">
      <c r="A7">
        <v>3.1026682443998701</v>
      </c>
      <c r="B7">
        <f t="shared" si="3"/>
        <v>3.5928898270150493</v>
      </c>
      <c r="C7">
        <f t="shared" si="4"/>
        <v>0.32230323103507441</v>
      </c>
      <c r="E7">
        <v>0</v>
      </c>
      <c r="F7">
        <v>6.1558500000000002E-2</v>
      </c>
      <c r="G7">
        <v>6.1184000000000099E-2</v>
      </c>
      <c r="H7">
        <v>0.23067750000000001</v>
      </c>
      <c r="I7">
        <v>0.22971749999999999</v>
      </c>
      <c r="J7">
        <v>0.17124249999999999</v>
      </c>
      <c r="K7">
        <v>0.12893250000000001</v>
      </c>
      <c r="L7">
        <v>0.30978</v>
      </c>
      <c r="M7">
        <v>0.31741000000000003</v>
      </c>
      <c r="N7">
        <v>0.25980999999999999</v>
      </c>
      <c r="O7">
        <v>0.3975225</v>
      </c>
      <c r="P7">
        <v>0.40298499999999998</v>
      </c>
      <c r="Q7">
        <v>0.68362999999999996</v>
      </c>
      <c r="R7">
        <v>0.54307749999999999</v>
      </c>
      <c r="S7">
        <v>0.63756000000000101</v>
      </c>
      <c r="T7">
        <v>0.83601749999999997</v>
      </c>
      <c r="U7">
        <v>0.84754499999999999</v>
      </c>
      <c r="V7">
        <v>0.85047499999999998</v>
      </c>
      <c r="W7">
        <v>0.94574250000000004</v>
      </c>
      <c r="X7">
        <v>0.94540749999999996</v>
      </c>
      <c r="Y7">
        <v>0.90022749999999996</v>
      </c>
      <c r="Z7">
        <v>1.0008224999999999</v>
      </c>
      <c r="AA7">
        <v>0.990985</v>
      </c>
      <c r="AB7">
        <v>0.99209250000000004</v>
      </c>
      <c r="AC7">
        <v>1.03237</v>
      </c>
      <c r="AD7">
        <v>1.1007975000000001</v>
      </c>
      <c r="AE7">
        <v>1.099335</v>
      </c>
      <c r="AF7">
        <v>1.022605</v>
      </c>
      <c r="AG7">
        <v>1.139265</v>
      </c>
      <c r="AH7">
        <v>1.2100525</v>
      </c>
      <c r="AI7">
        <v>1.145195</v>
      </c>
      <c r="AJ7">
        <v>1.2453075</v>
      </c>
      <c r="AK7">
        <v>1.3058650000000001</v>
      </c>
      <c r="AL7">
        <v>1.3099624999999999</v>
      </c>
      <c r="AM7">
        <v>1.473805</v>
      </c>
      <c r="AN7">
        <v>1.4378774999999999</v>
      </c>
      <c r="AO7">
        <v>1.4923575</v>
      </c>
      <c r="AP7">
        <v>1.5555600000000001</v>
      </c>
      <c r="AQ7">
        <v>1.555485</v>
      </c>
      <c r="AR7">
        <v>1.4625775000000001</v>
      </c>
      <c r="AS7">
        <v>1.453775</v>
      </c>
      <c r="AT7">
        <v>1.5188075000000001</v>
      </c>
      <c r="AU7">
        <v>1.5193624999999999</v>
      </c>
      <c r="AV7">
        <v>1.52068</v>
      </c>
      <c r="AW7">
        <v>1.5009950000000001</v>
      </c>
      <c r="AX7">
        <v>1.561755</v>
      </c>
      <c r="AY7">
        <v>1.6121224999999999</v>
      </c>
      <c r="AZ7">
        <v>1.5417749999999999</v>
      </c>
      <c r="BA7">
        <v>1.70069</v>
      </c>
      <c r="BB7">
        <v>1.5479499999999999</v>
      </c>
      <c r="BC7">
        <v>1.6328199999999999</v>
      </c>
      <c r="BD7">
        <v>1.6476525</v>
      </c>
      <c r="BE7">
        <v>1.7687250000000001</v>
      </c>
      <c r="BF7">
        <v>1.7012849999999999</v>
      </c>
      <c r="BG7">
        <v>1.7438724999999999</v>
      </c>
      <c r="BH7">
        <v>1.7344550000000001</v>
      </c>
      <c r="BI7">
        <v>1.73874</v>
      </c>
      <c r="BJ7">
        <v>1.6944300000000001</v>
      </c>
      <c r="BK7">
        <v>1.8019525000000001</v>
      </c>
      <c r="BL7">
        <v>1.7037125</v>
      </c>
      <c r="BM7">
        <v>1.7632675</v>
      </c>
      <c r="BN7">
        <v>1.7192799999999999</v>
      </c>
      <c r="BO7">
        <v>1.8471474999999999</v>
      </c>
      <c r="BP7">
        <v>1.7893600000000001</v>
      </c>
      <c r="BQ7">
        <v>1.80091</v>
      </c>
      <c r="BR7">
        <v>1.87334</v>
      </c>
      <c r="BS7">
        <v>1.8735575</v>
      </c>
      <c r="BT7">
        <v>1.811035</v>
      </c>
      <c r="BU7">
        <v>1.9483600000000001</v>
      </c>
      <c r="BV7">
        <v>1.8010025000000001</v>
      </c>
      <c r="BW7">
        <v>1.8025450000000001</v>
      </c>
      <c r="BX7">
        <v>1.86134</v>
      </c>
      <c r="BY7">
        <v>1.8273900000000001</v>
      </c>
      <c r="BZ7">
        <v>1.9608525000000001</v>
      </c>
      <c r="CA7">
        <v>1.9637925000000001</v>
      </c>
      <c r="CB7">
        <v>1.8511474999999999</v>
      </c>
      <c r="CC7">
        <v>1.9165399999999999</v>
      </c>
      <c r="CD7">
        <v>1.9208425</v>
      </c>
      <c r="CE7">
        <v>1.860495</v>
      </c>
      <c r="CF7">
        <v>1.9428175000000001</v>
      </c>
      <c r="CG7">
        <v>1.9389924999999999</v>
      </c>
      <c r="CH7">
        <v>1.9484950000000001</v>
      </c>
      <c r="CI7">
        <v>1.946825</v>
      </c>
      <c r="CJ7">
        <v>1.9457275000000001</v>
      </c>
      <c r="CK7">
        <v>1.8794249999999999</v>
      </c>
      <c r="CL7">
        <v>1.9581500000000001</v>
      </c>
      <c r="CM7">
        <v>1.8891775</v>
      </c>
      <c r="CN7">
        <v>1.9415374999999999</v>
      </c>
      <c r="CO7">
        <v>2.0328550000000001</v>
      </c>
      <c r="CP7">
        <v>2.0769875</v>
      </c>
      <c r="CQ7">
        <v>2.0745049999999998</v>
      </c>
    </row>
    <row r="8" spans="1:95" x14ac:dyDescent="0.25">
      <c r="A8">
        <v>3.0163124585622199</v>
      </c>
      <c r="B8">
        <f t="shared" si="3"/>
        <v>3.4928898270150501</v>
      </c>
      <c r="C8">
        <f t="shared" si="4"/>
        <v>0.33153064005731958</v>
      </c>
      <c r="E8">
        <v>0</v>
      </c>
      <c r="F8">
        <v>5.8568500000000003E-2</v>
      </c>
      <c r="G8">
        <v>5.9716749999999999E-2</v>
      </c>
      <c r="H8">
        <v>0.108795</v>
      </c>
      <c r="I8">
        <v>0.104285</v>
      </c>
      <c r="J8">
        <v>5.0092499999999901E-2</v>
      </c>
      <c r="K8">
        <v>-2.2340000000000301E-2</v>
      </c>
      <c r="L8">
        <v>0.15446750000000001</v>
      </c>
      <c r="M8">
        <v>0.16109499999999999</v>
      </c>
      <c r="N8">
        <v>9.7819999999999602E-2</v>
      </c>
      <c r="O8">
        <v>0.2347475</v>
      </c>
      <c r="P8">
        <v>0.24029249999999999</v>
      </c>
      <c r="Q8">
        <v>0.51121000000000005</v>
      </c>
      <c r="R8">
        <v>0.37622</v>
      </c>
      <c r="S8">
        <v>0.46447250000000001</v>
      </c>
      <c r="T8">
        <v>0.75419000000000003</v>
      </c>
      <c r="U8">
        <v>0.77758000000000005</v>
      </c>
      <c r="V8">
        <v>0.78666999999999998</v>
      </c>
      <c r="W8">
        <v>0.90761499999999995</v>
      </c>
      <c r="X8">
        <v>0.90725999999999996</v>
      </c>
      <c r="Y8">
        <v>0.86304999999999998</v>
      </c>
      <c r="Z8">
        <v>0.95724750000000003</v>
      </c>
      <c r="AA8">
        <v>0.94252499999999995</v>
      </c>
      <c r="AB8">
        <v>0.94957250000000004</v>
      </c>
      <c r="AC8">
        <v>0.98401499999999997</v>
      </c>
      <c r="AD8">
        <v>1.0496399999999999</v>
      </c>
      <c r="AE8">
        <v>1.05064</v>
      </c>
      <c r="AF8">
        <v>0.97372499999999995</v>
      </c>
      <c r="AG8">
        <v>1.0828175</v>
      </c>
      <c r="AH8">
        <v>1.15052</v>
      </c>
      <c r="AI8">
        <v>1.08585</v>
      </c>
      <c r="AJ8">
        <v>1.17042</v>
      </c>
      <c r="AK8">
        <v>1.2330399999999999</v>
      </c>
      <c r="AL8">
        <v>1.2325600000000001</v>
      </c>
      <c r="AM8">
        <v>1.3810125</v>
      </c>
      <c r="AN8">
        <v>1.3488024999999999</v>
      </c>
      <c r="AO8">
        <v>1.39714</v>
      </c>
      <c r="AP8">
        <v>1.4407350000000001</v>
      </c>
      <c r="AQ8">
        <v>1.44038</v>
      </c>
      <c r="AR8">
        <v>1.3551249999999999</v>
      </c>
      <c r="AS8">
        <v>1.3502525000000001</v>
      </c>
      <c r="AT8">
        <v>1.416115</v>
      </c>
      <c r="AU8">
        <v>1.4146749999999999</v>
      </c>
      <c r="AV8">
        <v>1.41523</v>
      </c>
      <c r="AW8">
        <v>1.3892599999999999</v>
      </c>
      <c r="AX8">
        <v>1.44716</v>
      </c>
      <c r="AY8">
        <v>1.497045</v>
      </c>
      <c r="AZ8">
        <v>1.42479</v>
      </c>
      <c r="BA8">
        <v>1.5711375000000001</v>
      </c>
      <c r="BB8">
        <v>1.4254424999999999</v>
      </c>
      <c r="BC8">
        <v>1.5059750000000001</v>
      </c>
      <c r="BD8">
        <v>1.5165525</v>
      </c>
      <c r="BE8">
        <v>1.6227799999999999</v>
      </c>
      <c r="BF8">
        <v>1.5568875</v>
      </c>
      <c r="BG8">
        <v>1.5945175</v>
      </c>
      <c r="BH8">
        <v>1.5835600000000001</v>
      </c>
      <c r="BI8">
        <v>1.5888125</v>
      </c>
      <c r="BJ8">
        <v>1.5420700000000001</v>
      </c>
      <c r="BK8">
        <v>1.642865</v>
      </c>
      <c r="BL8">
        <v>1.5484975000000001</v>
      </c>
      <c r="BM8">
        <v>1.5960350000000001</v>
      </c>
      <c r="BN8">
        <v>1.5500075</v>
      </c>
      <c r="BO8">
        <v>1.6731425</v>
      </c>
      <c r="BP8">
        <v>1.6138174999999999</v>
      </c>
      <c r="BQ8">
        <v>1.6269450000000001</v>
      </c>
      <c r="BR8">
        <v>1.697705</v>
      </c>
      <c r="BS8">
        <v>1.6959200000000001</v>
      </c>
      <c r="BT8">
        <v>1.6362825000000001</v>
      </c>
      <c r="BU8">
        <v>1.7714449999999999</v>
      </c>
      <c r="BV8">
        <v>1.6310374999999999</v>
      </c>
      <c r="BW8">
        <v>1.63117</v>
      </c>
      <c r="BX8">
        <v>1.6867125000000001</v>
      </c>
      <c r="BY8">
        <v>1.65459</v>
      </c>
      <c r="BZ8">
        <v>1.7820724999999999</v>
      </c>
      <c r="CA8">
        <v>1.7878050000000001</v>
      </c>
      <c r="CB8">
        <v>1.6790225000000001</v>
      </c>
      <c r="CC8">
        <v>1.7438849999999999</v>
      </c>
      <c r="CD8">
        <v>1.74787</v>
      </c>
      <c r="CE8">
        <v>1.6889149999999999</v>
      </c>
      <c r="CF8">
        <v>1.7682825</v>
      </c>
      <c r="CG8">
        <v>1.7682199999999999</v>
      </c>
      <c r="CH8">
        <v>1.7744675000000001</v>
      </c>
      <c r="CI8">
        <v>1.7718425</v>
      </c>
      <c r="CJ8">
        <v>1.7765975000000001</v>
      </c>
      <c r="CK8">
        <v>1.7103575</v>
      </c>
      <c r="CL8">
        <v>1.7845899999999999</v>
      </c>
      <c r="CM8">
        <v>1.716575</v>
      </c>
      <c r="CN8">
        <v>1.7583249999999999</v>
      </c>
      <c r="CO8">
        <v>1.8445750000000001</v>
      </c>
      <c r="CP8">
        <v>1.889775</v>
      </c>
      <c r="CQ8">
        <v>1.8887925000000001</v>
      </c>
    </row>
    <row r="9" spans="1:95" x14ac:dyDescent="0.25">
      <c r="A9">
        <v>2.9299566727245701</v>
      </c>
      <c r="B9">
        <f t="shared" si="3"/>
        <v>3.3928898270150518</v>
      </c>
      <c r="C9">
        <f t="shared" si="4"/>
        <v>0.34130197531900663</v>
      </c>
      <c r="E9">
        <v>0</v>
      </c>
      <c r="F9">
        <v>5.6321250000000003E-2</v>
      </c>
      <c r="G9">
        <v>5.6520249999999897E-2</v>
      </c>
      <c r="H9">
        <v>6.4990000000000298E-2</v>
      </c>
      <c r="I9">
        <v>6.1507500000000097E-2</v>
      </c>
      <c r="J9">
        <v>7.0974999999997603E-3</v>
      </c>
      <c r="K9">
        <v>-7.2187499999999905E-2</v>
      </c>
      <c r="L9">
        <v>0.10209500000000001</v>
      </c>
      <c r="M9">
        <v>0.10780000000000001</v>
      </c>
      <c r="N9">
        <v>5.1282500000000099E-2</v>
      </c>
      <c r="O9">
        <v>0.18146000000000001</v>
      </c>
      <c r="P9">
        <v>0.18871250000000001</v>
      </c>
      <c r="Q9">
        <v>0.45102249999999999</v>
      </c>
      <c r="R9">
        <v>0.3171525</v>
      </c>
      <c r="S9">
        <v>0.40418500000000002</v>
      </c>
      <c r="T9">
        <v>0.68968750000000001</v>
      </c>
      <c r="U9">
        <v>0.71056750000000002</v>
      </c>
      <c r="V9">
        <v>0.72247499999999998</v>
      </c>
      <c r="W9">
        <v>0.866425</v>
      </c>
      <c r="X9">
        <v>0.86451999999999996</v>
      </c>
      <c r="Y9">
        <v>0.82328500000000004</v>
      </c>
      <c r="Z9">
        <v>0.94757749999999996</v>
      </c>
      <c r="AA9">
        <v>0.95268750000000002</v>
      </c>
      <c r="AB9">
        <v>0.96161249999999998</v>
      </c>
      <c r="AC9">
        <v>0.99185500000000004</v>
      </c>
      <c r="AD9">
        <v>1.0580350000000001</v>
      </c>
      <c r="AE9">
        <v>1.0589599999999999</v>
      </c>
      <c r="AF9">
        <v>0.9859175</v>
      </c>
      <c r="AG9">
        <v>1.0882725</v>
      </c>
      <c r="AH9">
        <v>1.1575325000000001</v>
      </c>
      <c r="AI9">
        <v>1.0943000000000001</v>
      </c>
      <c r="AJ9">
        <v>1.1688075</v>
      </c>
      <c r="AK9">
        <v>1.2295799999999999</v>
      </c>
      <c r="AL9">
        <v>1.2312624999999999</v>
      </c>
      <c r="AM9">
        <v>1.3809525</v>
      </c>
      <c r="AN9">
        <v>1.3507825</v>
      </c>
      <c r="AO9">
        <v>1.3944425</v>
      </c>
      <c r="AP9">
        <v>1.44611</v>
      </c>
      <c r="AQ9">
        <v>1.4412100000000001</v>
      </c>
      <c r="AR9">
        <v>1.361435</v>
      </c>
      <c r="AS9">
        <v>1.3570575</v>
      </c>
      <c r="AT9">
        <v>1.4231499999999999</v>
      </c>
      <c r="AU9">
        <v>1.42269</v>
      </c>
      <c r="AV9">
        <v>1.42452</v>
      </c>
      <c r="AW9">
        <v>1.3971199999999999</v>
      </c>
      <c r="AX9">
        <v>1.455965</v>
      </c>
      <c r="AY9">
        <v>1.5053875000000001</v>
      </c>
      <c r="AZ9">
        <v>1.4353425</v>
      </c>
      <c r="BA9">
        <v>1.5794250000000001</v>
      </c>
      <c r="BB9">
        <v>1.43486</v>
      </c>
      <c r="BC9">
        <v>1.5135875000000001</v>
      </c>
      <c r="BD9">
        <v>1.52725</v>
      </c>
      <c r="BE9">
        <v>1.635575</v>
      </c>
      <c r="BF9">
        <v>1.5740525000000001</v>
      </c>
      <c r="BG9">
        <v>1.6121099999999999</v>
      </c>
      <c r="BH9">
        <v>1.6020025</v>
      </c>
      <c r="BI9">
        <v>1.6111825</v>
      </c>
      <c r="BJ9">
        <v>1.5630725000000001</v>
      </c>
      <c r="BK9">
        <v>1.6633599999999999</v>
      </c>
      <c r="BL9">
        <v>1.570435</v>
      </c>
      <c r="BM9">
        <v>1.6105225000000001</v>
      </c>
      <c r="BN9">
        <v>1.5711599999999999</v>
      </c>
      <c r="BO9">
        <v>1.6905950000000001</v>
      </c>
      <c r="BP9">
        <v>1.6328475</v>
      </c>
      <c r="BQ9">
        <v>1.6473125</v>
      </c>
      <c r="BR9">
        <v>1.7159275</v>
      </c>
      <c r="BS9">
        <v>1.7139025000000001</v>
      </c>
      <c r="BT9">
        <v>1.65743</v>
      </c>
      <c r="BU9">
        <v>1.7916350000000001</v>
      </c>
      <c r="BV9">
        <v>1.65374</v>
      </c>
      <c r="BW9">
        <v>1.6562349999999999</v>
      </c>
      <c r="BX9">
        <v>1.70869</v>
      </c>
      <c r="BY9">
        <v>1.6769025</v>
      </c>
      <c r="BZ9">
        <v>1.804135</v>
      </c>
      <c r="CA9">
        <v>1.8117825000000001</v>
      </c>
      <c r="CB9">
        <v>1.7028425</v>
      </c>
      <c r="CC9">
        <v>1.767075</v>
      </c>
      <c r="CD9">
        <v>1.7698700000000001</v>
      </c>
      <c r="CE9">
        <v>1.7161424999999999</v>
      </c>
      <c r="CF9">
        <v>1.7918674999999999</v>
      </c>
      <c r="CG9">
        <v>1.7935874999999999</v>
      </c>
      <c r="CH9">
        <v>1.7962724999999999</v>
      </c>
      <c r="CI9">
        <v>1.7956749999999999</v>
      </c>
      <c r="CJ9">
        <v>1.8004599999999999</v>
      </c>
      <c r="CK9">
        <v>1.7378074999999999</v>
      </c>
      <c r="CL9">
        <v>1.81301</v>
      </c>
      <c r="CM9">
        <v>1.7456775</v>
      </c>
      <c r="CN9">
        <v>1.7874874999999999</v>
      </c>
      <c r="CO9">
        <v>1.8718900000000001</v>
      </c>
      <c r="CP9">
        <v>1.91605</v>
      </c>
      <c r="CQ9">
        <v>1.9131925000000001</v>
      </c>
    </row>
    <row r="10" spans="1:95" x14ac:dyDescent="0.25">
      <c r="A10">
        <v>2.8436008868869198</v>
      </c>
      <c r="B10">
        <f t="shared" si="3"/>
        <v>3.2928898270150531</v>
      </c>
      <c r="C10">
        <f t="shared" si="4"/>
        <v>0.35166679143034274</v>
      </c>
      <c r="E10">
        <v>0</v>
      </c>
      <c r="F10">
        <v>5.1681749999999999E-2</v>
      </c>
      <c r="G10">
        <v>5.1896499999999998E-2</v>
      </c>
      <c r="H10">
        <v>3.4535000000000003E-2</v>
      </c>
      <c r="I10">
        <v>2.76075E-2</v>
      </c>
      <c r="J10">
        <v>-2.4979999999999801E-2</v>
      </c>
      <c r="K10">
        <v>-0.13930500000000001</v>
      </c>
      <c r="L10">
        <v>3.89349999999999E-2</v>
      </c>
      <c r="M10">
        <v>4.2525000000000403E-2</v>
      </c>
      <c r="N10">
        <v>-3.5352500000000099E-2</v>
      </c>
      <c r="O10">
        <v>0.100687499999999</v>
      </c>
      <c r="P10">
        <v>0.10141500000000001</v>
      </c>
      <c r="Q10">
        <v>0.31334250000000002</v>
      </c>
      <c r="R10">
        <v>0.1750575</v>
      </c>
      <c r="S10">
        <v>0.26086500000000001</v>
      </c>
      <c r="T10">
        <v>0.545435</v>
      </c>
      <c r="U10">
        <v>0.56535500000000005</v>
      </c>
      <c r="V10">
        <v>0.57665250000000001</v>
      </c>
      <c r="W10">
        <v>0.81480249999999999</v>
      </c>
      <c r="X10">
        <v>0.81346499999999999</v>
      </c>
      <c r="Y10">
        <v>0.77443249999999997</v>
      </c>
      <c r="Z10">
        <v>0.95372000000000001</v>
      </c>
      <c r="AA10">
        <v>1.002335</v>
      </c>
      <c r="AB10">
        <v>1.0118149999999999</v>
      </c>
      <c r="AC10">
        <v>1.0424675000000001</v>
      </c>
      <c r="AD10">
        <v>1.109615</v>
      </c>
      <c r="AE10">
        <v>1.1104875000000001</v>
      </c>
      <c r="AF10">
        <v>1.0355725</v>
      </c>
      <c r="AG10">
        <v>1.1402375</v>
      </c>
      <c r="AH10">
        <v>1.2096074999999999</v>
      </c>
      <c r="AI10">
        <v>1.1466924999999999</v>
      </c>
      <c r="AJ10">
        <v>1.2121575</v>
      </c>
      <c r="AK10">
        <v>1.27172</v>
      </c>
      <c r="AL10">
        <v>1.2749349999999999</v>
      </c>
      <c r="AM10">
        <v>1.43438</v>
      </c>
      <c r="AN10">
        <v>1.4049700000000001</v>
      </c>
      <c r="AO10">
        <v>1.44947</v>
      </c>
      <c r="AP10">
        <v>1.5220475</v>
      </c>
      <c r="AQ10">
        <v>1.5202500000000001</v>
      </c>
      <c r="AR10">
        <v>1.4354150000000001</v>
      </c>
      <c r="AS10">
        <v>1.4360200000000001</v>
      </c>
      <c r="AT10">
        <v>1.5018750000000001</v>
      </c>
      <c r="AU10">
        <v>1.5015099999999999</v>
      </c>
      <c r="AV10">
        <v>1.5011000000000001</v>
      </c>
      <c r="AW10">
        <v>1.4790525000000001</v>
      </c>
      <c r="AX10">
        <v>1.5426150000000001</v>
      </c>
      <c r="AY10">
        <v>1.5866275000000001</v>
      </c>
      <c r="AZ10">
        <v>1.5174449999999999</v>
      </c>
      <c r="BA10">
        <v>1.6751100000000001</v>
      </c>
      <c r="BB10">
        <v>1.5327999999999999</v>
      </c>
      <c r="BC10">
        <v>1.6105125</v>
      </c>
      <c r="BD10">
        <v>1.6252599999999999</v>
      </c>
      <c r="BE10">
        <v>1.7552525000000001</v>
      </c>
      <c r="BF10">
        <v>1.69482</v>
      </c>
      <c r="BG10">
        <v>1.7360100000000001</v>
      </c>
      <c r="BH10">
        <v>1.7251399999999999</v>
      </c>
      <c r="BI10">
        <v>1.7393400000000001</v>
      </c>
      <c r="BJ10">
        <v>1.6890499999999999</v>
      </c>
      <c r="BK10">
        <v>1.79034</v>
      </c>
      <c r="BL10">
        <v>1.6972674999999999</v>
      </c>
      <c r="BM10">
        <v>1.7394849999999999</v>
      </c>
      <c r="BN10">
        <v>1.7049624999999999</v>
      </c>
      <c r="BO10">
        <v>1.8266975000000001</v>
      </c>
      <c r="BP10">
        <v>1.7699324999999999</v>
      </c>
      <c r="BQ10">
        <v>1.7830524999999999</v>
      </c>
      <c r="BR10">
        <v>1.8520449999999999</v>
      </c>
      <c r="BS10">
        <v>1.85012</v>
      </c>
      <c r="BT10">
        <v>1.7961050000000001</v>
      </c>
      <c r="BU10">
        <v>1.9294724999999999</v>
      </c>
      <c r="BV10">
        <v>1.7949575</v>
      </c>
      <c r="BW10">
        <v>1.7954874999999999</v>
      </c>
      <c r="BX10">
        <v>1.8490025000000001</v>
      </c>
      <c r="BY10">
        <v>1.8169525</v>
      </c>
      <c r="BZ10">
        <v>1.9430674999999999</v>
      </c>
      <c r="CA10">
        <v>1.948545</v>
      </c>
      <c r="CB10">
        <v>1.8429374999999999</v>
      </c>
      <c r="CC10">
        <v>1.907025</v>
      </c>
      <c r="CD10">
        <v>1.910145</v>
      </c>
      <c r="CE10">
        <v>1.8567899999999999</v>
      </c>
      <c r="CF10">
        <v>1.935265</v>
      </c>
      <c r="CG10">
        <v>1.9338375000000001</v>
      </c>
      <c r="CH10">
        <v>1.9433199999999999</v>
      </c>
      <c r="CI10">
        <v>1.9426425</v>
      </c>
      <c r="CJ10">
        <v>1.9507175000000001</v>
      </c>
      <c r="CK10">
        <v>1.88635</v>
      </c>
      <c r="CL10">
        <v>1.9638599999999999</v>
      </c>
      <c r="CM10">
        <v>1.90086</v>
      </c>
      <c r="CN10">
        <v>1.943065</v>
      </c>
      <c r="CO10">
        <v>2.030065</v>
      </c>
      <c r="CP10">
        <v>2.0783900000000002</v>
      </c>
      <c r="CQ10">
        <v>2.0737774999999998</v>
      </c>
    </row>
    <row r="11" spans="1:95" x14ac:dyDescent="0.25">
      <c r="A11">
        <v>2.75724510104927</v>
      </c>
      <c r="B11">
        <f t="shared" si="3"/>
        <v>3.1928898270150543</v>
      </c>
      <c r="C11">
        <f t="shared" si="4"/>
        <v>0.36268085112181353</v>
      </c>
      <c r="E11">
        <v>0</v>
      </c>
      <c r="F11">
        <v>4.7654249999999898E-2</v>
      </c>
      <c r="G11">
        <v>4.9406250000000103E-2</v>
      </c>
      <c r="H11">
        <v>2.9925000000001799E-3</v>
      </c>
      <c r="I11">
        <v>-2.25000000000009E-3</v>
      </c>
      <c r="J11">
        <v>-5.8724999999999902E-2</v>
      </c>
      <c r="K11">
        <v>-0.19553000000000001</v>
      </c>
      <c r="L11">
        <v>-1.55225000000003E-2</v>
      </c>
      <c r="M11">
        <v>-1.04774999999999E-2</v>
      </c>
      <c r="N11">
        <v>-0.1125275</v>
      </c>
      <c r="O11">
        <v>2.3847500000000001E-2</v>
      </c>
      <c r="P11">
        <v>2.40724999999999E-2</v>
      </c>
      <c r="Q11">
        <v>0.15454499999999999</v>
      </c>
      <c r="R11">
        <v>1.09724999999998E-2</v>
      </c>
      <c r="S11">
        <v>0.101284999999999</v>
      </c>
      <c r="T11">
        <v>0.38750000000000001</v>
      </c>
      <c r="U11">
        <v>0.40945500000000001</v>
      </c>
      <c r="V11">
        <v>0.42293249999999999</v>
      </c>
      <c r="W11">
        <v>0.64847500000000002</v>
      </c>
      <c r="X11">
        <v>0.64612999999999998</v>
      </c>
      <c r="Y11">
        <v>0.60570000000000002</v>
      </c>
      <c r="Z11">
        <v>0.81474749999999996</v>
      </c>
      <c r="AA11">
        <v>0.84787250000000003</v>
      </c>
      <c r="AB11">
        <v>0.86195250000000001</v>
      </c>
      <c r="AC11">
        <v>0.8871175</v>
      </c>
      <c r="AD11">
        <v>0.95376000000000005</v>
      </c>
      <c r="AE11">
        <v>0.95334249999999998</v>
      </c>
      <c r="AF11">
        <v>0.87909250000000005</v>
      </c>
      <c r="AG11">
        <v>0.97294750000000096</v>
      </c>
      <c r="AH11">
        <v>1.0411349999999999</v>
      </c>
      <c r="AI11">
        <v>0.97792749999999995</v>
      </c>
      <c r="AJ11">
        <v>1.019965</v>
      </c>
      <c r="AK11">
        <v>1.084635</v>
      </c>
      <c r="AL11">
        <v>1.0870850000000001</v>
      </c>
      <c r="AM11">
        <v>1.2319500000000001</v>
      </c>
      <c r="AN11">
        <v>1.2032350000000001</v>
      </c>
      <c r="AO11">
        <v>1.2473350000000001</v>
      </c>
      <c r="AP11">
        <v>1.3046575</v>
      </c>
      <c r="AQ11">
        <v>1.302565</v>
      </c>
      <c r="AR11">
        <v>1.2205425000000001</v>
      </c>
      <c r="AS11">
        <v>1.2237199999999999</v>
      </c>
      <c r="AT11">
        <v>1.2953399999999999</v>
      </c>
      <c r="AU11">
        <v>1.2903775</v>
      </c>
      <c r="AV11">
        <v>1.2889600000000001</v>
      </c>
      <c r="AW11">
        <v>1.2593075</v>
      </c>
      <c r="AX11">
        <v>1.3227249999999999</v>
      </c>
      <c r="AY11">
        <v>1.369855</v>
      </c>
      <c r="AZ11">
        <v>1.2959425</v>
      </c>
      <c r="BA11">
        <v>1.4558125</v>
      </c>
      <c r="BB11">
        <v>1.3140925000000001</v>
      </c>
      <c r="BC11">
        <v>1.3905525000000001</v>
      </c>
      <c r="BD11">
        <v>1.40476</v>
      </c>
      <c r="BE11">
        <v>1.5291349999999999</v>
      </c>
      <c r="BF11">
        <v>1.47279</v>
      </c>
      <c r="BG11">
        <v>1.50902</v>
      </c>
      <c r="BH11">
        <v>1.4995925000000001</v>
      </c>
      <c r="BI11">
        <v>1.5161175</v>
      </c>
      <c r="BJ11">
        <v>1.4633274999999999</v>
      </c>
      <c r="BK11">
        <v>1.5667125</v>
      </c>
      <c r="BL11">
        <v>1.4684524999999999</v>
      </c>
      <c r="BM11">
        <v>1.5035099999999999</v>
      </c>
      <c r="BN11">
        <v>1.4667874999999999</v>
      </c>
      <c r="BO11">
        <v>1.5912875</v>
      </c>
      <c r="BP11">
        <v>1.532915</v>
      </c>
      <c r="BQ11">
        <v>1.549115</v>
      </c>
      <c r="BR11">
        <v>1.6196550000000001</v>
      </c>
      <c r="BS11">
        <v>1.6168425</v>
      </c>
      <c r="BT11">
        <v>1.559145</v>
      </c>
      <c r="BU11">
        <v>1.6967425</v>
      </c>
      <c r="BV11">
        <v>1.5638650000000001</v>
      </c>
      <c r="BW11">
        <v>1.56291</v>
      </c>
      <c r="BX11">
        <v>1.616115</v>
      </c>
      <c r="BY11">
        <v>1.5865525</v>
      </c>
      <c r="BZ11">
        <v>1.709695</v>
      </c>
      <c r="CA11">
        <v>1.719325</v>
      </c>
      <c r="CB11">
        <v>1.614295</v>
      </c>
      <c r="CC11">
        <v>1.6776424999999999</v>
      </c>
      <c r="CD11">
        <v>1.6819900000000001</v>
      </c>
      <c r="CE11">
        <v>1.6293949999999999</v>
      </c>
      <c r="CF11">
        <v>1.7055499999999999</v>
      </c>
      <c r="CG11">
        <v>1.7071149999999999</v>
      </c>
      <c r="CH11">
        <v>1.7130099999999999</v>
      </c>
      <c r="CI11">
        <v>1.7131025</v>
      </c>
      <c r="CJ11">
        <v>1.7261074999999999</v>
      </c>
      <c r="CK11">
        <v>1.6612024999999999</v>
      </c>
      <c r="CL11">
        <v>1.7359150000000001</v>
      </c>
      <c r="CM11">
        <v>1.6710825</v>
      </c>
      <c r="CN11">
        <v>1.7137575</v>
      </c>
      <c r="CO11">
        <v>1.80413</v>
      </c>
      <c r="CP11">
        <v>1.85297</v>
      </c>
      <c r="CQ11">
        <v>1.85009</v>
      </c>
    </row>
    <row r="12" spans="1:95" x14ac:dyDescent="0.25">
      <c r="A12">
        <v>2.6708893152116202</v>
      </c>
      <c r="B12">
        <f t="shared" si="3"/>
        <v>3.092889827015056</v>
      </c>
      <c r="C12">
        <f t="shared" si="4"/>
        <v>0.3744071288557938</v>
      </c>
      <c r="E12">
        <v>0</v>
      </c>
      <c r="F12">
        <v>4.5496249999999898E-2</v>
      </c>
      <c r="G12">
        <v>4.509875E-2</v>
      </c>
      <c r="H12">
        <v>5.74750000000002E-3</v>
      </c>
      <c r="I12">
        <v>1.3250000000009099E-4</v>
      </c>
      <c r="J12">
        <v>-5.5492499999999903E-2</v>
      </c>
      <c r="K12">
        <v>-0.19848750000000001</v>
      </c>
      <c r="L12">
        <v>-1.9744999999999902E-2</v>
      </c>
      <c r="M12">
        <v>-1.3702499999999999E-2</v>
      </c>
      <c r="N12">
        <v>-0.12628500000000001</v>
      </c>
      <c r="O12">
        <v>1.1039999999999901E-2</v>
      </c>
      <c r="P12">
        <v>1.1177499999999599E-2</v>
      </c>
      <c r="Q12">
        <v>8.8592499999999894E-2</v>
      </c>
      <c r="R12">
        <v>-5.3320000000000298E-2</v>
      </c>
      <c r="S12">
        <v>3.7364999999999399E-2</v>
      </c>
      <c r="T12">
        <v>0.32579000000000002</v>
      </c>
      <c r="U12">
        <v>0.34664</v>
      </c>
      <c r="V12">
        <v>0.35980250000000003</v>
      </c>
      <c r="W12">
        <v>0.58484250000000004</v>
      </c>
      <c r="X12">
        <v>0.57908999999999999</v>
      </c>
      <c r="Y12">
        <v>0.53681500000000004</v>
      </c>
      <c r="Z12">
        <v>0.75055249999999996</v>
      </c>
      <c r="AA12">
        <v>0.84606000000000003</v>
      </c>
      <c r="AB12">
        <v>0.86156499999999903</v>
      </c>
      <c r="AC12">
        <v>0.88302749999999997</v>
      </c>
      <c r="AD12">
        <v>0.9971025</v>
      </c>
      <c r="AE12">
        <v>0.99709000000000103</v>
      </c>
      <c r="AF12">
        <v>0.92476749999999996</v>
      </c>
      <c r="AG12">
        <v>1.0284525</v>
      </c>
      <c r="AH12">
        <v>1.0951599999999999</v>
      </c>
      <c r="AI12">
        <v>1.0328550000000001</v>
      </c>
      <c r="AJ12">
        <v>1.073105</v>
      </c>
      <c r="AK12">
        <v>1.1359874999999999</v>
      </c>
      <c r="AL12">
        <v>1.13784</v>
      </c>
      <c r="AM12">
        <v>1.2874350000000001</v>
      </c>
      <c r="AN12">
        <v>1.2617799999999999</v>
      </c>
      <c r="AO12">
        <v>1.3041750000000001</v>
      </c>
      <c r="AP12">
        <v>1.3685175000000001</v>
      </c>
      <c r="AQ12">
        <v>1.3629800000000001</v>
      </c>
      <c r="AR12">
        <v>1.2845375000000001</v>
      </c>
      <c r="AS12">
        <v>1.288535</v>
      </c>
      <c r="AT12">
        <v>1.3604324999999999</v>
      </c>
      <c r="AU12">
        <v>1.3576425000000001</v>
      </c>
      <c r="AV12">
        <v>1.3534174999999999</v>
      </c>
      <c r="AW12">
        <v>1.323105</v>
      </c>
      <c r="AX12">
        <v>1.38558</v>
      </c>
      <c r="AY12">
        <v>1.4321349999999999</v>
      </c>
      <c r="AZ12">
        <v>1.3571825</v>
      </c>
      <c r="BA12">
        <v>1.5143175</v>
      </c>
      <c r="BB12">
        <v>1.377345</v>
      </c>
      <c r="BC12">
        <v>1.4499875</v>
      </c>
      <c r="BD12">
        <v>1.46759</v>
      </c>
      <c r="BE12">
        <v>1.5950675000000001</v>
      </c>
      <c r="BF12">
        <v>1.5356700000000001</v>
      </c>
      <c r="BG12">
        <v>1.5742624999999999</v>
      </c>
      <c r="BH12">
        <v>1.5709150000000001</v>
      </c>
      <c r="BI12">
        <v>1.5911225</v>
      </c>
      <c r="BJ12">
        <v>1.53349</v>
      </c>
      <c r="BK12">
        <v>1.637915</v>
      </c>
      <c r="BL12">
        <v>1.5432775000000001</v>
      </c>
      <c r="BM12">
        <v>1.5714325</v>
      </c>
      <c r="BN12">
        <v>1.5395574999999999</v>
      </c>
      <c r="BO12">
        <v>1.6620550000000001</v>
      </c>
      <c r="BP12">
        <v>1.6051975000000001</v>
      </c>
      <c r="BQ12">
        <v>1.6208425</v>
      </c>
      <c r="BR12">
        <v>1.6915225</v>
      </c>
      <c r="BS12">
        <v>1.6887075</v>
      </c>
      <c r="BT12">
        <v>1.6272500000000001</v>
      </c>
      <c r="BU12">
        <v>1.77108</v>
      </c>
      <c r="BV12">
        <v>1.6406525000000001</v>
      </c>
      <c r="BW12">
        <v>1.6386825</v>
      </c>
      <c r="BX12">
        <v>1.6897825</v>
      </c>
      <c r="BY12">
        <v>1.6596575</v>
      </c>
      <c r="BZ12">
        <v>1.7886575</v>
      </c>
      <c r="CA12">
        <v>1.7943275000000001</v>
      </c>
      <c r="CB12">
        <v>1.6896100000000001</v>
      </c>
      <c r="CC12">
        <v>1.7556149999999999</v>
      </c>
      <c r="CD12">
        <v>1.7588675</v>
      </c>
      <c r="CE12">
        <v>1.7075549999999999</v>
      </c>
      <c r="CF12">
        <v>1.782735</v>
      </c>
      <c r="CG12">
        <v>1.7843450000000001</v>
      </c>
      <c r="CH12">
        <v>1.7919149999999999</v>
      </c>
      <c r="CI12">
        <v>1.7888124999999999</v>
      </c>
      <c r="CJ12">
        <v>1.8071225</v>
      </c>
      <c r="CK12">
        <v>1.7394475</v>
      </c>
      <c r="CL12">
        <v>1.8159700000000001</v>
      </c>
      <c r="CM12">
        <v>1.7482225</v>
      </c>
      <c r="CN12">
        <v>1.7943925000000001</v>
      </c>
      <c r="CO12">
        <v>1.8862350000000001</v>
      </c>
      <c r="CP12">
        <v>1.9317424999999999</v>
      </c>
      <c r="CQ12">
        <v>1.9299675000000001</v>
      </c>
    </row>
    <row r="13" spans="1:95" x14ac:dyDescent="0.25">
      <c r="A13">
        <v>2.58453352937397</v>
      </c>
      <c r="B13">
        <f t="shared" si="3"/>
        <v>2.9928898270150568</v>
      </c>
      <c r="C13">
        <f t="shared" si="4"/>
        <v>0.38691701563733311</v>
      </c>
      <c r="E13">
        <v>0</v>
      </c>
      <c r="F13">
        <v>4.2736500000000101E-2</v>
      </c>
      <c r="G13">
        <v>4.1468999999999902E-2</v>
      </c>
      <c r="H13">
        <v>5.1074999999998196E-3</v>
      </c>
      <c r="I13">
        <v>-2.1875000000000102E-3</v>
      </c>
      <c r="J13">
        <v>-6.0497499999999899E-2</v>
      </c>
      <c r="K13">
        <v>-0.2090525</v>
      </c>
      <c r="L13">
        <v>-2.29650000000001E-2</v>
      </c>
      <c r="M13">
        <v>-2.1552499999999902E-2</v>
      </c>
      <c r="N13">
        <v>-0.13131000000000001</v>
      </c>
      <c r="O13">
        <v>7.2700000000001097E-3</v>
      </c>
      <c r="P13">
        <v>6.70250000000072E-3</v>
      </c>
      <c r="Q13">
        <v>1.2295000000000399E-2</v>
      </c>
      <c r="R13">
        <v>-0.13183</v>
      </c>
      <c r="S13">
        <v>-4.0367499999999903E-2</v>
      </c>
      <c r="T13">
        <v>0.17675000000000099</v>
      </c>
      <c r="U13">
        <v>0.19012000000000001</v>
      </c>
      <c r="V13">
        <v>0.20197000000000001</v>
      </c>
      <c r="W13">
        <v>0.40952250000000001</v>
      </c>
      <c r="X13">
        <v>0.40819499999999997</v>
      </c>
      <c r="Y13">
        <v>0.36255999999999999</v>
      </c>
      <c r="Z13">
        <v>0.57089500000000004</v>
      </c>
      <c r="AA13">
        <v>0.70681749999999999</v>
      </c>
      <c r="AB13">
        <v>0.72127000000000097</v>
      </c>
      <c r="AC13">
        <v>0.74605250000000001</v>
      </c>
      <c r="AD13">
        <v>0.89562750000000002</v>
      </c>
      <c r="AE13">
        <v>0.89726499999999998</v>
      </c>
      <c r="AF13">
        <v>0.82254749999999899</v>
      </c>
      <c r="AG13">
        <v>0.92959000000000003</v>
      </c>
      <c r="AH13">
        <v>0.9999825</v>
      </c>
      <c r="AI13">
        <v>0.93764749999999997</v>
      </c>
      <c r="AJ13">
        <v>0.95698749999999899</v>
      </c>
      <c r="AK13">
        <v>1.0209649999999999</v>
      </c>
      <c r="AL13">
        <v>1.023245</v>
      </c>
      <c r="AM13">
        <v>1.167775</v>
      </c>
      <c r="AN13">
        <v>1.140555</v>
      </c>
      <c r="AO13">
        <v>1.1872925000000001</v>
      </c>
      <c r="AP13">
        <v>1.2463850000000001</v>
      </c>
      <c r="AQ13">
        <v>1.2401625000000001</v>
      </c>
      <c r="AR13">
        <v>1.1596949999999999</v>
      </c>
      <c r="AS13">
        <v>1.1644224999999999</v>
      </c>
      <c r="AT13">
        <v>1.2374425</v>
      </c>
      <c r="AU13">
        <v>1.2340249999999999</v>
      </c>
      <c r="AV13">
        <v>1.2357149999999999</v>
      </c>
      <c r="AW13">
        <v>1.20401</v>
      </c>
      <c r="AX13">
        <v>1.2636849999999999</v>
      </c>
      <c r="AY13">
        <v>1.3114975</v>
      </c>
      <c r="AZ13">
        <v>1.23736</v>
      </c>
      <c r="BA13">
        <v>1.3833500000000001</v>
      </c>
      <c r="BB13">
        <v>1.2448675</v>
      </c>
      <c r="BC13">
        <v>1.3192124999999999</v>
      </c>
      <c r="BD13">
        <v>1.3358325</v>
      </c>
      <c r="BE13">
        <v>1.47278</v>
      </c>
      <c r="BF13">
        <v>1.40994</v>
      </c>
      <c r="BG13">
        <v>1.4525300000000001</v>
      </c>
      <c r="BH13">
        <v>1.4503425000000001</v>
      </c>
      <c r="BI13">
        <v>1.4734075</v>
      </c>
      <c r="BJ13">
        <v>1.4133150000000001</v>
      </c>
      <c r="BK13">
        <v>1.52102</v>
      </c>
      <c r="BL13">
        <v>1.4239025000000001</v>
      </c>
      <c r="BM13">
        <v>1.4489175000000001</v>
      </c>
      <c r="BN13">
        <v>1.4165525000000001</v>
      </c>
      <c r="BO13">
        <v>1.5409425000000001</v>
      </c>
      <c r="BP13">
        <v>1.4843424999999999</v>
      </c>
      <c r="BQ13">
        <v>1.4996425</v>
      </c>
      <c r="BR13">
        <v>1.5685275000000001</v>
      </c>
      <c r="BS13">
        <v>1.5686549999999999</v>
      </c>
      <c r="BT13">
        <v>1.5092300000000001</v>
      </c>
      <c r="BU13">
        <v>1.6511150000000001</v>
      </c>
      <c r="BV13">
        <v>1.5202575</v>
      </c>
      <c r="BW13">
        <v>1.5173650000000001</v>
      </c>
      <c r="BX13">
        <v>1.5720749999999999</v>
      </c>
      <c r="BY13">
        <v>1.5423500000000001</v>
      </c>
      <c r="BZ13">
        <v>1.6738975</v>
      </c>
      <c r="CA13">
        <v>1.67957</v>
      </c>
      <c r="CB13">
        <v>1.5731575</v>
      </c>
      <c r="CC13">
        <v>1.6406674999999999</v>
      </c>
      <c r="CD13">
        <v>1.6446875000000001</v>
      </c>
      <c r="CE13">
        <v>1.5942175000000001</v>
      </c>
      <c r="CF13">
        <v>1.6700575</v>
      </c>
      <c r="CG13">
        <v>1.674255</v>
      </c>
      <c r="CH13">
        <v>1.6797299999999999</v>
      </c>
      <c r="CI13">
        <v>1.6755249999999999</v>
      </c>
      <c r="CJ13">
        <v>1.6969050000000001</v>
      </c>
      <c r="CK13">
        <v>1.62896</v>
      </c>
      <c r="CL13">
        <v>1.7043900000000001</v>
      </c>
      <c r="CM13">
        <v>1.6372024999999999</v>
      </c>
      <c r="CN13">
        <v>1.6858625</v>
      </c>
      <c r="CO13">
        <v>1.7788349999999999</v>
      </c>
      <c r="CP13">
        <v>1.8229074999999999</v>
      </c>
      <c r="CQ13">
        <v>1.821645</v>
      </c>
    </row>
    <row r="14" spans="1:95" x14ac:dyDescent="0.25">
      <c r="A14">
        <v>2.4981777435363202</v>
      </c>
      <c r="B14">
        <f t="shared" si="3"/>
        <v>2.8928898270150585</v>
      </c>
      <c r="C14">
        <f t="shared" si="4"/>
        <v>0.40029177370879948</v>
      </c>
      <c r="E14">
        <v>0</v>
      </c>
      <c r="F14">
        <v>3.91805E-2</v>
      </c>
      <c r="G14">
        <v>3.8360999999999999E-2</v>
      </c>
      <c r="H14">
        <v>-1.3750000000012399E-4</v>
      </c>
      <c r="I14">
        <v>-6.5550000000003097E-3</v>
      </c>
      <c r="J14">
        <v>-6.2142500000000003E-2</v>
      </c>
      <c r="K14">
        <v>-0.21601999999999999</v>
      </c>
      <c r="L14">
        <v>-2.8577500000000401E-2</v>
      </c>
      <c r="M14">
        <v>-2.9892499999999898E-2</v>
      </c>
      <c r="N14">
        <v>-0.13557749999999999</v>
      </c>
      <c r="O14">
        <v>3.4600000000000199E-3</v>
      </c>
      <c r="P14">
        <v>3.6924999999996501E-3</v>
      </c>
      <c r="Q14">
        <v>-7.1474999999994199E-3</v>
      </c>
      <c r="R14">
        <v>-0.15353</v>
      </c>
      <c r="S14">
        <v>-5.8532500000000098E-2</v>
      </c>
      <c r="T14">
        <v>0.1153925</v>
      </c>
      <c r="U14">
        <v>0.12538250000000001</v>
      </c>
      <c r="V14">
        <v>0.13493749999999999</v>
      </c>
      <c r="W14">
        <v>0.29158499999999998</v>
      </c>
      <c r="X14">
        <v>0.28969250000000002</v>
      </c>
      <c r="Y14">
        <v>0.24474750000000001</v>
      </c>
      <c r="Z14">
        <v>0.43982500000000002</v>
      </c>
      <c r="AA14">
        <v>0.56227250000000095</v>
      </c>
      <c r="AB14">
        <v>0.56974749999999996</v>
      </c>
      <c r="AC14">
        <v>0.59967499999999996</v>
      </c>
      <c r="AD14">
        <v>0.77155249999999997</v>
      </c>
      <c r="AE14">
        <v>0.77242250000000001</v>
      </c>
      <c r="AF14">
        <v>0.69547499999999995</v>
      </c>
      <c r="AG14">
        <v>0.79552</v>
      </c>
      <c r="AH14">
        <v>0.86760749999999998</v>
      </c>
      <c r="AI14">
        <v>0.80324249999999997</v>
      </c>
      <c r="AJ14">
        <v>0.7949775</v>
      </c>
      <c r="AK14">
        <v>0.85811999999999999</v>
      </c>
      <c r="AL14">
        <v>0.86208750000000001</v>
      </c>
      <c r="AM14">
        <v>0.98745249999999996</v>
      </c>
      <c r="AN14">
        <v>0.95372000000000101</v>
      </c>
      <c r="AO14">
        <v>1.0055449999999999</v>
      </c>
      <c r="AP14">
        <v>1.0454675</v>
      </c>
      <c r="AQ14">
        <v>1.04115</v>
      </c>
      <c r="AR14">
        <v>0.9624125</v>
      </c>
      <c r="AS14">
        <v>0.96947499999999998</v>
      </c>
      <c r="AT14">
        <v>1.04142</v>
      </c>
      <c r="AU14">
        <v>1.0381750000000001</v>
      </c>
      <c r="AV14">
        <v>1.0385150000000001</v>
      </c>
      <c r="AW14">
        <v>1.0039849999999999</v>
      </c>
      <c r="AX14">
        <v>1.0654725</v>
      </c>
      <c r="AY14">
        <v>1.1112225</v>
      </c>
      <c r="AZ14">
        <v>1.0383374999999999</v>
      </c>
      <c r="BA14">
        <v>1.1799875</v>
      </c>
      <c r="BB14">
        <v>1.036505</v>
      </c>
      <c r="BC14">
        <v>1.11361</v>
      </c>
      <c r="BD14">
        <v>1.1287475</v>
      </c>
      <c r="BE14">
        <v>1.2588625</v>
      </c>
      <c r="BF14">
        <v>1.1948425</v>
      </c>
      <c r="BG14">
        <v>1.240685</v>
      </c>
      <c r="BH14">
        <v>1.24108</v>
      </c>
      <c r="BI14">
        <v>1.2581125</v>
      </c>
      <c r="BJ14">
        <v>1.2028274999999999</v>
      </c>
      <c r="BK14">
        <v>1.3105599999999999</v>
      </c>
      <c r="BL14">
        <v>1.2110375</v>
      </c>
      <c r="BM14">
        <v>1.2265075000000001</v>
      </c>
      <c r="BN14">
        <v>1.1954175</v>
      </c>
      <c r="BO14">
        <v>1.32073</v>
      </c>
      <c r="BP14">
        <v>1.2618875000000001</v>
      </c>
      <c r="BQ14">
        <v>1.2773425</v>
      </c>
      <c r="BR14">
        <v>1.3504475</v>
      </c>
      <c r="BS14">
        <v>1.3499075</v>
      </c>
      <c r="BT14">
        <v>1.291215</v>
      </c>
      <c r="BU14">
        <v>1.4342874999999999</v>
      </c>
      <c r="BV14">
        <v>1.2984275000000001</v>
      </c>
      <c r="BW14">
        <v>1.2961024999999999</v>
      </c>
      <c r="BX14">
        <v>1.3568925000000001</v>
      </c>
      <c r="BY14">
        <v>1.3234399999999999</v>
      </c>
      <c r="BZ14">
        <v>1.46041</v>
      </c>
      <c r="CA14">
        <v>1.4703174999999999</v>
      </c>
      <c r="CB14">
        <v>1.356155</v>
      </c>
      <c r="CC14">
        <v>1.4289175000000001</v>
      </c>
      <c r="CD14">
        <v>1.4328325</v>
      </c>
      <c r="CE14">
        <v>1.3771199999999999</v>
      </c>
      <c r="CF14">
        <v>1.4565300000000001</v>
      </c>
      <c r="CG14">
        <v>1.4605399999999999</v>
      </c>
      <c r="CH14">
        <v>1.4662200000000001</v>
      </c>
      <c r="CI14">
        <v>1.46478</v>
      </c>
      <c r="CJ14">
        <v>1.48265</v>
      </c>
      <c r="CK14">
        <v>1.4151575000000001</v>
      </c>
      <c r="CL14">
        <v>1.4902424999999999</v>
      </c>
      <c r="CM14">
        <v>1.423335</v>
      </c>
      <c r="CN14">
        <v>1.4716499999999999</v>
      </c>
      <c r="CO14">
        <v>1.5629150000000001</v>
      </c>
      <c r="CP14">
        <v>1.61093</v>
      </c>
      <c r="CQ14">
        <v>1.6100075</v>
      </c>
    </row>
    <row r="15" spans="1:95" x14ac:dyDescent="0.25">
      <c r="A15">
        <v>2.4118219576986601</v>
      </c>
      <c r="B15">
        <f t="shared" si="3"/>
        <v>2.7928898270150482</v>
      </c>
      <c r="C15">
        <f t="shared" si="4"/>
        <v>0.41462430375838832</v>
      </c>
      <c r="E15">
        <v>0</v>
      </c>
      <c r="F15">
        <v>4.0036250000000002E-2</v>
      </c>
      <c r="G15">
        <v>3.7331749999999997E-2</v>
      </c>
      <c r="H15">
        <v>-8.0424999999999507E-3</v>
      </c>
      <c r="I15">
        <v>-1.29825000000001E-2</v>
      </c>
      <c r="J15">
        <v>-7.0225000000000204E-2</v>
      </c>
      <c r="K15">
        <v>-0.22392999999999999</v>
      </c>
      <c r="L15">
        <v>-3.9987500000000502E-2</v>
      </c>
      <c r="M15">
        <v>-3.9857499999999699E-2</v>
      </c>
      <c r="N15">
        <v>-0.14291000000000001</v>
      </c>
      <c r="O15">
        <v>-4.8024999999998199E-3</v>
      </c>
      <c r="P15">
        <v>-3.4925000000001201E-3</v>
      </c>
      <c r="Q15">
        <v>-1.53600000000003E-2</v>
      </c>
      <c r="R15">
        <v>-0.16419500000000001</v>
      </c>
      <c r="S15">
        <v>-6.9227500000000206E-2</v>
      </c>
      <c r="T15">
        <v>1.8724999999999901E-2</v>
      </c>
      <c r="U15">
        <v>1.8197499999999402E-2</v>
      </c>
      <c r="V15">
        <v>1.9884999999999899E-2</v>
      </c>
      <c r="W15">
        <v>0.14654249999999999</v>
      </c>
      <c r="X15">
        <v>0.14755750000000001</v>
      </c>
      <c r="Y15">
        <v>0.102995</v>
      </c>
      <c r="Z15">
        <v>0.29894500000000002</v>
      </c>
      <c r="AA15">
        <v>0.42490749999999999</v>
      </c>
      <c r="AB15">
        <v>0.43030499999999999</v>
      </c>
      <c r="AC15">
        <v>0.46619250000000001</v>
      </c>
      <c r="AD15">
        <v>0.68820250000000005</v>
      </c>
      <c r="AE15">
        <v>0.69040000000000001</v>
      </c>
      <c r="AF15">
        <v>0.61637750000000102</v>
      </c>
      <c r="AG15">
        <v>0.75412000000000001</v>
      </c>
      <c r="AH15">
        <v>0.82920249999999995</v>
      </c>
      <c r="AI15">
        <v>0.76441749999999997</v>
      </c>
      <c r="AJ15">
        <v>0.75631999999999999</v>
      </c>
      <c r="AK15">
        <v>0.81498749999999998</v>
      </c>
      <c r="AL15">
        <v>0.82306000000000101</v>
      </c>
      <c r="AM15">
        <v>0.95518249999999905</v>
      </c>
      <c r="AN15">
        <v>0.92061000000000004</v>
      </c>
      <c r="AO15">
        <v>0.97653749999999895</v>
      </c>
      <c r="AP15">
        <v>1.0158</v>
      </c>
      <c r="AQ15">
        <v>1.0128925</v>
      </c>
      <c r="AR15">
        <v>0.93101500000000004</v>
      </c>
      <c r="AS15">
        <v>0.93442499999999895</v>
      </c>
      <c r="AT15">
        <v>1.0066174999999999</v>
      </c>
      <c r="AU15">
        <v>1.0064074999999999</v>
      </c>
      <c r="AV15">
        <v>1.0088675</v>
      </c>
      <c r="AW15">
        <v>0.97630499999999898</v>
      </c>
      <c r="AX15">
        <v>1.0389875</v>
      </c>
      <c r="AY15">
        <v>1.084425</v>
      </c>
      <c r="AZ15">
        <v>1.0095025</v>
      </c>
      <c r="BA15">
        <v>1.1500824999999999</v>
      </c>
      <c r="BB15">
        <v>1.0061625000000001</v>
      </c>
      <c r="BC15">
        <v>1.0858924999999999</v>
      </c>
      <c r="BD15">
        <v>1.10232</v>
      </c>
      <c r="BE15">
        <v>1.2352675</v>
      </c>
      <c r="BF15">
        <v>1.1663349999999999</v>
      </c>
      <c r="BG15">
        <v>1.21601</v>
      </c>
      <c r="BH15">
        <v>1.2158125</v>
      </c>
      <c r="BI15">
        <v>1.2305649999999999</v>
      </c>
      <c r="BJ15">
        <v>1.1811</v>
      </c>
      <c r="BK15">
        <v>1.2896924999999999</v>
      </c>
      <c r="BL15">
        <v>1.1897</v>
      </c>
      <c r="BM15">
        <v>1.20041</v>
      </c>
      <c r="BN15">
        <v>1.1711575000000001</v>
      </c>
      <c r="BO15">
        <v>1.2970075000000001</v>
      </c>
      <c r="BP15">
        <v>1.2380575</v>
      </c>
      <c r="BQ15">
        <v>1.2535624999999999</v>
      </c>
      <c r="BR15">
        <v>1.3283225000000001</v>
      </c>
      <c r="BS15">
        <v>1.3300725</v>
      </c>
      <c r="BT15">
        <v>1.2698425</v>
      </c>
      <c r="BU15">
        <v>1.4150475</v>
      </c>
      <c r="BV15">
        <v>1.2777974999999999</v>
      </c>
      <c r="BW15">
        <v>1.2775624999999999</v>
      </c>
      <c r="BX15">
        <v>1.3397675</v>
      </c>
      <c r="BY15">
        <v>1.3097749999999999</v>
      </c>
      <c r="BZ15">
        <v>1.4480375000000001</v>
      </c>
      <c r="CA15">
        <v>1.4590425</v>
      </c>
      <c r="CB15">
        <v>1.344495</v>
      </c>
      <c r="CC15">
        <v>1.4172525</v>
      </c>
      <c r="CD15">
        <v>1.4227624999999999</v>
      </c>
      <c r="CE15">
        <v>1.36913</v>
      </c>
      <c r="CF15">
        <v>1.4500925</v>
      </c>
      <c r="CG15">
        <v>1.4508675</v>
      </c>
      <c r="CH15">
        <v>1.4596175</v>
      </c>
      <c r="CI15">
        <v>1.460645</v>
      </c>
      <c r="CJ15">
        <v>1.4746349999999999</v>
      </c>
      <c r="CK15">
        <v>1.4110050000000001</v>
      </c>
      <c r="CL15">
        <v>1.4870874999999999</v>
      </c>
      <c r="CM15">
        <v>1.4222375</v>
      </c>
      <c r="CN15">
        <v>1.4734175</v>
      </c>
      <c r="CO15">
        <v>1.5624324999999999</v>
      </c>
      <c r="CP15">
        <v>1.6114525</v>
      </c>
      <c r="CQ15">
        <v>1.6090199999999999</v>
      </c>
    </row>
    <row r="16" spans="1:95" x14ac:dyDescent="0.25">
      <c r="A16">
        <v>2.3254661718610099</v>
      </c>
      <c r="B16">
        <f t="shared" si="3"/>
        <v>2.6928898270150494</v>
      </c>
      <c r="C16">
        <f t="shared" si="4"/>
        <v>0.43002130587852244</v>
      </c>
      <c r="E16">
        <v>0</v>
      </c>
      <c r="F16">
        <v>3.2899499999999998E-2</v>
      </c>
      <c r="G16">
        <v>3.30632500000001E-2</v>
      </c>
      <c r="H16">
        <v>-1.9054999999999999E-2</v>
      </c>
      <c r="I16">
        <v>-2.1715000000000199E-2</v>
      </c>
      <c r="J16">
        <v>-8.4102500000000205E-2</v>
      </c>
      <c r="K16">
        <v>-0.24742249999999999</v>
      </c>
      <c r="L16">
        <v>-4.98850000000002E-2</v>
      </c>
      <c r="M16">
        <v>-4.9142500000000297E-2</v>
      </c>
      <c r="N16">
        <v>-0.16061</v>
      </c>
      <c r="O16">
        <v>-1.81525000000002E-2</v>
      </c>
      <c r="P16">
        <v>-1.46175E-2</v>
      </c>
      <c r="Q16">
        <v>-2.72449999999997E-2</v>
      </c>
      <c r="R16">
        <v>-0.18262</v>
      </c>
      <c r="S16">
        <v>-8.1437499999999399E-2</v>
      </c>
      <c r="T16">
        <v>2.0625000000000799E-3</v>
      </c>
      <c r="U16">
        <v>3.5174999999996199E-3</v>
      </c>
      <c r="V16">
        <v>2.2524999999999902E-3</v>
      </c>
      <c r="W16">
        <v>0.10313</v>
      </c>
      <c r="X16">
        <v>0.10464</v>
      </c>
      <c r="Y16">
        <v>5.7185E-2</v>
      </c>
      <c r="Z16">
        <v>0.22667499999999999</v>
      </c>
      <c r="AA16">
        <v>0.31816749999999999</v>
      </c>
      <c r="AB16">
        <v>0.3218625</v>
      </c>
      <c r="AC16">
        <v>0.3589175</v>
      </c>
      <c r="AD16">
        <v>0.60897000000000001</v>
      </c>
      <c r="AE16">
        <v>0.61266750000000103</v>
      </c>
      <c r="AF16">
        <v>0.53473250000000005</v>
      </c>
      <c r="AG16">
        <v>0.73596499999999998</v>
      </c>
      <c r="AH16">
        <v>0.81393749999999998</v>
      </c>
      <c r="AI16">
        <v>0.74597250000000004</v>
      </c>
      <c r="AJ16">
        <v>0.74917999999999996</v>
      </c>
      <c r="AK16">
        <v>0.80997750000000002</v>
      </c>
      <c r="AL16">
        <v>0.81624750000000001</v>
      </c>
      <c r="AM16">
        <v>0.95486000000000104</v>
      </c>
      <c r="AN16">
        <v>0.91703999999999997</v>
      </c>
      <c r="AO16">
        <v>0.97472749999999897</v>
      </c>
      <c r="AP16">
        <v>1.0030725</v>
      </c>
      <c r="AQ16">
        <v>1.00234</v>
      </c>
      <c r="AR16">
        <v>0.90815749999999995</v>
      </c>
      <c r="AS16">
        <v>0.90943499999999899</v>
      </c>
      <c r="AT16">
        <v>0.98578500000000102</v>
      </c>
      <c r="AU16">
        <v>0.98658750000000095</v>
      </c>
      <c r="AV16">
        <v>0.98699000000000003</v>
      </c>
      <c r="AW16">
        <v>0.95439249999999998</v>
      </c>
      <c r="AX16">
        <v>1.01895</v>
      </c>
      <c r="AY16">
        <v>1.0654075000000001</v>
      </c>
      <c r="AZ16">
        <v>0.98567499999999997</v>
      </c>
      <c r="BA16">
        <v>1.1269775</v>
      </c>
      <c r="BB16">
        <v>0.97772499999999996</v>
      </c>
      <c r="BC16">
        <v>1.0610999999999999</v>
      </c>
      <c r="BD16">
        <v>1.0764199999999999</v>
      </c>
      <c r="BE16">
        <v>1.2002349999999999</v>
      </c>
      <c r="BF16">
        <v>1.1267674999999999</v>
      </c>
      <c r="BG16">
        <v>1.1782975</v>
      </c>
      <c r="BH16">
        <v>1.17608</v>
      </c>
      <c r="BI16">
        <v>1.1862575</v>
      </c>
      <c r="BJ16">
        <v>1.1377900000000001</v>
      </c>
      <c r="BK16">
        <v>1.2532775</v>
      </c>
      <c r="BL16">
        <v>1.1492</v>
      </c>
      <c r="BM16">
        <v>1.150155</v>
      </c>
      <c r="BN16">
        <v>1.1202125000000001</v>
      </c>
      <c r="BO16">
        <v>1.2482124999999999</v>
      </c>
      <c r="BP16">
        <v>1.1889075</v>
      </c>
      <c r="BQ16">
        <v>1.2016500000000001</v>
      </c>
      <c r="BR16">
        <v>1.2838775</v>
      </c>
      <c r="BS16">
        <v>1.2854075</v>
      </c>
      <c r="BT16">
        <v>1.2239625000000001</v>
      </c>
      <c r="BU16">
        <v>1.3709325000000001</v>
      </c>
      <c r="BV16">
        <v>1.2243649999999999</v>
      </c>
      <c r="BW16">
        <v>1.2266649999999999</v>
      </c>
      <c r="BX16">
        <v>1.2937399999999999</v>
      </c>
      <c r="BY16">
        <v>1.2656974999999999</v>
      </c>
      <c r="BZ16">
        <v>1.4106050000000001</v>
      </c>
      <c r="CA16">
        <v>1.425435</v>
      </c>
      <c r="CB16">
        <v>1.308155</v>
      </c>
      <c r="CC16">
        <v>1.3819950000000001</v>
      </c>
      <c r="CD16">
        <v>1.3874249999999999</v>
      </c>
      <c r="CE16">
        <v>1.3307450000000001</v>
      </c>
      <c r="CF16">
        <v>1.4158900000000001</v>
      </c>
      <c r="CG16">
        <v>1.415025</v>
      </c>
      <c r="CH16">
        <v>1.4274800000000001</v>
      </c>
      <c r="CI16">
        <v>1.4281925</v>
      </c>
      <c r="CJ16">
        <v>1.44286</v>
      </c>
      <c r="CK16">
        <v>1.3793175</v>
      </c>
      <c r="CL16">
        <v>1.4539175</v>
      </c>
      <c r="CM16">
        <v>1.3873774999999999</v>
      </c>
      <c r="CN16">
        <v>1.4373374999999999</v>
      </c>
      <c r="CO16">
        <v>1.5294099999999999</v>
      </c>
      <c r="CP16">
        <v>1.5799125000000001</v>
      </c>
      <c r="CQ16">
        <v>1.5829325000000001</v>
      </c>
    </row>
    <row r="17" spans="1:95" x14ac:dyDescent="0.25">
      <c r="A17">
        <v>2.2391103860233601</v>
      </c>
      <c r="B17">
        <f t="shared" si="3"/>
        <v>2.5928898270150507</v>
      </c>
      <c r="C17">
        <f t="shared" si="4"/>
        <v>0.44660594057445779</v>
      </c>
      <c r="E17">
        <v>0</v>
      </c>
      <c r="F17">
        <v>3.040675E-2</v>
      </c>
      <c r="G17">
        <v>2.95705000000001E-2</v>
      </c>
      <c r="H17">
        <v>-2.92675000000002E-2</v>
      </c>
      <c r="I17">
        <v>-3.0284999999999899E-2</v>
      </c>
      <c r="J17">
        <v>-9.6664999999999807E-2</v>
      </c>
      <c r="K17">
        <v>-0.27357749999999997</v>
      </c>
      <c r="L17">
        <v>-6.35075000000003E-2</v>
      </c>
      <c r="M17">
        <v>-6.4197499999999894E-2</v>
      </c>
      <c r="N17">
        <v>-0.17784</v>
      </c>
      <c r="O17">
        <v>-2.6794999999999899E-2</v>
      </c>
      <c r="P17">
        <v>-2.2149999999999899E-2</v>
      </c>
      <c r="Q17">
        <v>-3.6937500000000102E-2</v>
      </c>
      <c r="R17">
        <v>-0.2046675</v>
      </c>
      <c r="S17">
        <v>-9.4399999999999804E-2</v>
      </c>
      <c r="T17">
        <v>-2.8124999999996599E-3</v>
      </c>
      <c r="U17">
        <v>2.0000000000042201E-4</v>
      </c>
      <c r="V17">
        <v>-2.7249999999989799E-4</v>
      </c>
      <c r="W17">
        <v>1.2499999999999701E-2</v>
      </c>
      <c r="X17">
        <v>1.29674999999998E-2</v>
      </c>
      <c r="Y17">
        <v>-3.9627500000000399E-2</v>
      </c>
      <c r="Z17">
        <v>8.3352499999999705E-2</v>
      </c>
      <c r="AA17">
        <v>0.11681</v>
      </c>
      <c r="AB17">
        <v>0.117825</v>
      </c>
      <c r="AC17">
        <v>0.15983</v>
      </c>
      <c r="AD17">
        <v>0.390455</v>
      </c>
      <c r="AE17">
        <v>0.39293999999999901</v>
      </c>
      <c r="AF17">
        <v>0.31208750000000102</v>
      </c>
      <c r="AG17">
        <v>0.60156750000000003</v>
      </c>
      <c r="AH17">
        <v>0.68296000000000101</v>
      </c>
      <c r="AI17">
        <v>0.61098249999999998</v>
      </c>
      <c r="AJ17">
        <v>0.61415499999999901</v>
      </c>
      <c r="AK17">
        <v>0.678857499999999</v>
      </c>
      <c r="AL17">
        <v>0.68455500000000102</v>
      </c>
      <c r="AM17">
        <v>0.81006250000000102</v>
      </c>
      <c r="AN17">
        <v>0.763387499999999</v>
      </c>
      <c r="AO17">
        <v>0.8291925</v>
      </c>
      <c r="AP17">
        <v>0.82551749999999902</v>
      </c>
      <c r="AQ17">
        <v>0.824972499999999</v>
      </c>
      <c r="AR17">
        <v>0.72038000000000102</v>
      </c>
      <c r="AS17">
        <v>0.71708499999999997</v>
      </c>
      <c r="AT17">
        <v>0.80147999999999997</v>
      </c>
      <c r="AU17">
        <v>0.80257500000000004</v>
      </c>
      <c r="AV17">
        <v>0.80526000000000098</v>
      </c>
      <c r="AW17">
        <v>0.76365499999999997</v>
      </c>
      <c r="AX17">
        <v>0.82594999999999996</v>
      </c>
      <c r="AY17">
        <v>0.87797250000000004</v>
      </c>
      <c r="AZ17">
        <v>0.79467750000000104</v>
      </c>
      <c r="BA17">
        <v>0.92613000000000101</v>
      </c>
      <c r="BB17">
        <v>0.76259999999999994</v>
      </c>
      <c r="BC17">
        <v>0.85618249999999996</v>
      </c>
      <c r="BD17">
        <v>0.86827000000000099</v>
      </c>
      <c r="BE17">
        <v>0.94988166666666596</v>
      </c>
      <c r="BF17">
        <v>0.87512166666666702</v>
      </c>
      <c r="BG17">
        <v>0.92700083333333305</v>
      </c>
      <c r="BH17">
        <v>0.91098083333333302</v>
      </c>
      <c r="BI17">
        <v>0.91397000000000095</v>
      </c>
      <c r="BJ17">
        <v>0.86423333333333296</v>
      </c>
      <c r="BK17">
        <v>0.98707666666666805</v>
      </c>
      <c r="BL17">
        <v>0.87807916666666597</v>
      </c>
      <c r="BM17">
        <v>0.860170833333332</v>
      </c>
      <c r="BN17">
        <v>0.82855000000000001</v>
      </c>
      <c r="BO17">
        <v>0.95661833333333202</v>
      </c>
      <c r="BP17">
        <v>0.89459500000000203</v>
      </c>
      <c r="BQ17">
        <v>0.90193500000000104</v>
      </c>
      <c r="BR17">
        <v>0.98908916666666702</v>
      </c>
      <c r="BS17">
        <v>0.99127083333333299</v>
      </c>
      <c r="BT17">
        <v>0.92905166666666705</v>
      </c>
      <c r="BU17">
        <v>1.07745</v>
      </c>
      <c r="BV17">
        <v>0.92344249999999795</v>
      </c>
      <c r="BW17">
        <v>0.929721666666666</v>
      </c>
      <c r="BX17">
        <v>0.99865666666666697</v>
      </c>
      <c r="BY17">
        <v>0.96688250000000098</v>
      </c>
      <c r="BZ17">
        <v>1.12264416666667</v>
      </c>
      <c r="CA17">
        <v>1.1356008333333301</v>
      </c>
      <c r="CB17">
        <v>1.00980166666667</v>
      </c>
      <c r="CC17">
        <v>1.09076833333333</v>
      </c>
      <c r="CD17">
        <v>1.0958508333333301</v>
      </c>
      <c r="CE17">
        <v>1.0362133333333301</v>
      </c>
      <c r="CF17">
        <v>1.1245341666666699</v>
      </c>
      <c r="CG17">
        <v>1.12298583333333</v>
      </c>
      <c r="CH17">
        <v>1.13568333333333</v>
      </c>
      <c r="CI17">
        <v>1.1337883333333301</v>
      </c>
      <c r="CJ17">
        <v>1.1495616666666699</v>
      </c>
      <c r="CK17">
        <v>1.08198666666667</v>
      </c>
      <c r="CL17">
        <v>1.1557633333333299</v>
      </c>
      <c r="CM17">
        <v>1.08415333333333</v>
      </c>
      <c r="CN17">
        <v>1.1289691666666699</v>
      </c>
      <c r="CO17">
        <v>1.2198450000000001</v>
      </c>
      <c r="CP17">
        <v>1.2689791666666701</v>
      </c>
      <c r="CQ17">
        <v>1.27477166666667</v>
      </c>
    </row>
    <row r="18" spans="1:95" x14ac:dyDescent="0.25">
      <c r="A18">
        <v>2.1527546001857099</v>
      </c>
      <c r="B18">
        <f t="shared" si="3"/>
        <v>2.4928898270150519</v>
      </c>
      <c r="C18">
        <f t="shared" si="4"/>
        <v>0.46452113023645791</v>
      </c>
      <c r="E18">
        <v>0</v>
      </c>
      <c r="F18">
        <v>2.98315E-2</v>
      </c>
      <c r="G18">
        <v>3.1471250000000103E-2</v>
      </c>
      <c r="H18">
        <v>-3.50324999999998E-2</v>
      </c>
      <c r="I18">
        <v>-3.8149999999999899E-2</v>
      </c>
      <c r="J18">
        <v>-0.10670250000000001</v>
      </c>
      <c r="K18">
        <v>-0.29442249999999998</v>
      </c>
      <c r="L18">
        <v>-7.4602499999999905E-2</v>
      </c>
      <c r="M18">
        <v>-7.5939999999999702E-2</v>
      </c>
      <c r="N18">
        <v>-0.19276499999999999</v>
      </c>
      <c r="O18">
        <v>-3.5077500000000303E-2</v>
      </c>
      <c r="P18">
        <v>-2.9760000000000002E-2</v>
      </c>
      <c r="Q18">
        <v>-4.83275000000001E-2</v>
      </c>
      <c r="R18">
        <v>-0.2201525</v>
      </c>
      <c r="S18">
        <v>-0.10947750000000001</v>
      </c>
      <c r="T18">
        <v>-1.34850000000002E-2</v>
      </c>
      <c r="U18">
        <v>-1.10674999999998E-2</v>
      </c>
      <c r="V18">
        <v>-1.2845000000000001E-2</v>
      </c>
      <c r="W18">
        <v>-4.3849999999992003E-3</v>
      </c>
      <c r="X18">
        <v>-1.9550000000005999E-3</v>
      </c>
      <c r="Y18">
        <v>-5.8007499999999997E-2</v>
      </c>
      <c r="Z18">
        <v>3.7307499999999799E-2</v>
      </c>
      <c r="AA18">
        <v>5.3932499999999703E-2</v>
      </c>
      <c r="AB18">
        <v>5.1717500000000097E-2</v>
      </c>
      <c r="AC18">
        <v>0.1003825</v>
      </c>
      <c r="AD18">
        <v>0.32291750000000002</v>
      </c>
      <c r="AE18">
        <v>0.32526500000000003</v>
      </c>
      <c r="AF18">
        <v>0.23710500000000101</v>
      </c>
      <c r="AG18">
        <v>0.51834249999999904</v>
      </c>
      <c r="AH18">
        <v>0.60436250000000002</v>
      </c>
      <c r="AI18">
        <v>0.52782249999999997</v>
      </c>
      <c r="AJ18">
        <v>0.54486250000000003</v>
      </c>
      <c r="AK18">
        <v>0.61728750000000099</v>
      </c>
      <c r="AL18">
        <v>0.62427249999999901</v>
      </c>
      <c r="AM18">
        <v>0.78368250000000095</v>
      </c>
      <c r="AN18">
        <v>0.73205750000000003</v>
      </c>
      <c r="AO18">
        <v>0.80388749999999898</v>
      </c>
      <c r="AP18">
        <v>0.81716500000000003</v>
      </c>
      <c r="AQ18">
        <v>0.82125000000000004</v>
      </c>
      <c r="AR18">
        <v>0.73975999999999997</v>
      </c>
      <c r="AS18">
        <v>0.74543999999999999</v>
      </c>
      <c r="AT18">
        <v>0.83161499999999899</v>
      </c>
      <c r="AU18">
        <v>0.83736750000000004</v>
      </c>
      <c r="AV18">
        <v>0.84247000000000105</v>
      </c>
      <c r="AW18">
        <v>0.80347250000000103</v>
      </c>
      <c r="AX18">
        <v>0.86756999999999995</v>
      </c>
      <c r="AY18">
        <v>0.92449999999999999</v>
      </c>
      <c r="AZ18">
        <v>0.83701999999999999</v>
      </c>
      <c r="BA18">
        <v>0.97346999999999995</v>
      </c>
      <c r="BB18">
        <v>0.80358499999999999</v>
      </c>
      <c r="BC18">
        <v>0.90038499999999899</v>
      </c>
      <c r="BD18">
        <v>0.91717749999999998</v>
      </c>
      <c r="BE18">
        <v>1.0279725</v>
      </c>
      <c r="BF18">
        <v>0.94684749999999995</v>
      </c>
      <c r="BG18">
        <v>1.0004500000000001</v>
      </c>
      <c r="BH18">
        <v>0.93660416666666702</v>
      </c>
      <c r="BI18">
        <v>0.93865583333333402</v>
      </c>
      <c r="BJ18">
        <v>0.89176583333333304</v>
      </c>
      <c r="BK18">
        <v>1.0183741666666699</v>
      </c>
      <c r="BL18">
        <v>0.90594833333333502</v>
      </c>
      <c r="BM18">
        <v>1.0508500000000001</v>
      </c>
      <c r="BN18">
        <v>1.0137175</v>
      </c>
      <c r="BO18">
        <v>1.1522524999999999</v>
      </c>
      <c r="BP18">
        <v>1.0840574999999999</v>
      </c>
      <c r="BQ18">
        <v>1.0907525</v>
      </c>
      <c r="BR18">
        <v>1.1787799999999999</v>
      </c>
      <c r="BS18">
        <v>1.1805175000000001</v>
      </c>
      <c r="BT18">
        <v>1.1168925000000001</v>
      </c>
      <c r="BU18">
        <v>1.2732825000000001</v>
      </c>
      <c r="BV18">
        <v>1.1074600000000001</v>
      </c>
      <c r="BW18">
        <v>1.1126925000000001</v>
      </c>
      <c r="BX18">
        <v>1.1877450000000001</v>
      </c>
      <c r="BY18">
        <v>1.1535074999999999</v>
      </c>
      <c r="BZ18">
        <v>1.3165674999999999</v>
      </c>
      <c r="CA18">
        <v>1.3264199999999999</v>
      </c>
      <c r="CB18">
        <v>1.18906</v>
      </c>
      <c r="CC18">
        <v>1.2726025000000001</v>
      </c>
      <c r="CD18">
        <v>1.2785424999999999</v>
      </c>
      <c r="CE18">
        <v>1.210615</v>
      </c>
      <c r="CF18">
        <v>1.3041750000000001</v>
      </c>
      <c r="CG18">
        <v>1.3012275</v>
      </c>
      <c r="CH18">
        <v>1.3145</v>
      </c>
      <c r="CI18">
        <v>1.3136650000000001</v>
      </c>
      <c r="CJ18">
        <v>1.323925</v>
      </c>
      <c r="CK18">
        <v>1.25231</v>
      </c>
      <c r="CL18">
        <v>1.3294649999999999</v>
      </c>
      <c r="CM18">
        <v>1.2531025</v>
      </c>
      <c r="CN18">
        <v>1.2772699999999999</v>
      </c>
      <c r="CO18">
        <v>1.3603075</v>
      </c>
      <c r="CP18">
        <v>1.4133275000000001</v>
      </c>
      <c r="CQ18">
        <v>1.4186399999999999</v>
      </c>
    </row>
    <row r="19" spans="1:95" x14ac:dyDescent="0.25">
      <c r="A19">
        <v>2.0663988143480601</v>
      </c>
      <c r="B19">
        <f t="shared" si="3"/>
        <v>2.3928898270150536</v>
      </c>
      <c r="C19">
        <f t="shared" si="4"/>
        <v>0.48393368843249929</v>
      </c>
      <c r="E19">
        <v>0</v>
      </c>
      <c r="F19">
        <v>2.522075E-2</v>
      </c>
      <c r="G19">
        <v>2.926225E-2</v>
      </c>
      <c r="H19">
        <v>-4.3300000000000102E-2</v>
      </c>
      <c r="I19">
        <v>-4.6097499999999701E-2</v>
      </c>
      <c r="J19">
        <v>-0.117345</v>
      </c>
      <c r="K19">
        <v>-0.31542750000000003</v>
      </c>
      <c r="L19">
        <v>-8.5070000000000007E-2</v>
      </c>
      <c r="M19">
        <v>-8.3317500000000197E-2</v>
      </c>
      <c r="N19">
        <v>-0.20650499999999999</v>
      </c>
      <c r="O19">
        <v>-4.1609999999999897E-2</v>
      </c>
      <c r="P19">
        <v>-3.7752499999999897E-2</v>
      </c>
      <c r="Q19">
        <v>-5.76875000000001E-2</v>
      </c>
      <c r="R19">
        <v>-0.24221499999999899</v>
      </c>
      <c r="S19">
        <v>-0.1226575</v>
      </c>
      <c r="T19">
        <v>-2.2125000000000401E-2</v>
      </c>
      <c r="U19">
        <v>-2.0070000000000001E-2</v>
      </c>
      <c r="V19">
        <v>-2.0852500000000201E-2</v>
      </c>
      <c r="W19">
        <v>-1.6074999999999399E-2</v>
      </c>
      <c r="X19">
        <v>-1.3007499999999599E-2</v>
      </c>
      <c r="Y19">
        <v>-6.9680000000000006E-2</v>
      </c>
      <c r="Z19">
        <v>2.17925000000001E-2</v>
      </c>
      <c r="AA19">
        <v>-3.8297500000000102E-2</v>
      </c>
      <c r="AB19">
        <v>-4.1822500000000297E-2</v>
      </c>
      <c r="AC19">
        <v>1.31749999999995E-2</v>
      </c>
      <c r="AD19">
        <v>0.17927000000000101</v>
      </c>
      <c r="AE19">
        <v>0.17990249999999899</v>
      </c>
      <c r="AF19">
        <v>8.6374999999999397E-2</v>
      </c>
      <c r="AG19">
        <v>0.36358999999999903</v>
      </c>
      <c r="AH19">
        <v>0.4551925</v>
      </c>
      <c r="AI19">
        <v>0.37245249999999902</v>
      </c>
      <c r="AJ19">
        <v>0.41499999999999998</v>
      </c>
      <c r="AK19">
        <v>0.49234250000000002</v>
      </c>
      <c r="AL19">
        <v>0.50260249999999895</v>
      </c>
      <c r="AM19">
        <v>0.69845250000000003</v>
      </c>
      <c r="AN19">
        <v>0.64201249999999899</v>
      </c>
      <c r="AO19">
        <v>0.71763750000000004</v>
      </c>
      <c r="AP19">
        <v>0.75492000000000004</v>
      </c>
      <c r="AQ19">
        <v>0.77270249999999996</v>
      </c>
      <c r="AR19">
        <v>0.73190999999999995</v>
      </c>
      <c r="AS19">
        <v>0.75719999999999998</v>
      </c>
      <c r="AT19">
        <v>0.85402999999999996</v>
      </c>
      <c r="AU19">
        <v>0.85893750000000102</v>
      </c>
      <c r="AV19">
        <v>0.86342749999999902</v>
      </c>
      <c r="AW19">
        <v>0.82412249999999998</v>
      </c>
      <c r="AX19">
        <v>0.88939250000000003</v>
      </c>
      <c r="AY19">
        <v>0.95036500000000002</v>
      </c>
      <c r="AZ19">
        <v>0.85750249999999995</v>
      </c>
      <c r="BA19">
        <v>1.0079374999999999</v>
      </c>
      <c r="BB19">
        <v>0.82761750000000001</v>
      </c>
      <c r="BC19">
        <v>0.93728750000000105</v>
      </c>
      <c r="BD19">
        <v>0.95913000000000104</v>
      </c>
      <c r="BE19">
        <v>1.0813225</v>
      </c>
      <c r="BF19">
        <v>0.99652249999999898</v>
      </c>
      <c r="BG19">
        <v>1.0516449999999999</v>
      </c>
      <c r="BH19">
        <v>1.0834524999999999</v>
      </c>
      <c r="BI19">
        <v>1.0841624999999999</v>
      </c>
      <c r="BJ19">
        <v>1.0339125</v>
      </c>
      <c r="BK19">
        <v>1.1760875</v>
      </c>
      <c r="BL19">
        <v>1.0535524999999999</v>
      </c>
      <c r="BM19">
        <v>1.04227</v>
      </c>
      <c r="BN19">
        <v>1.0034574999999999</v>
      </c>
      <c r="BO19">
        <v>1.1473199999999999</v>
      </c>
      <c r="BP19">
        <v>1.0729474999999999</v>
      </c>
      <c r="BQ19">
        <v>1.0774174999999999</v>
      </c>
      <c r="BR19">
        <v>1.1726875000000001</v>
      </c>
      <c r="BS19">
        <v>1.1739525</v>
      </c>
      <c r="BT19">
        <v>1.1032599999999999</v>
      </c>
      <c r="BU19">
        <v>1.2663675000000001</v>
      </c>
      <c r="BV19">
        <v>1.087655</v>
      </c>
      <c r="BW19">
        <v>1.0911424999999999</v>
      </c>
      <c r="BX19">
        <v>1.172385</v>
      </c>
      <c r="BY19">
        <v>1.1311</v>
      </c>
      <c r="BZ19">
        <v>1.297275</v>
      </c>
      <c r="CA19">
        <v>1.3058725</v>
      </c>
      <c r="CB19">
        <v>1.1584625</v>
      </c>
      <c r="CC19">
        <v>1.2442150000000001</v>
      </c>
      <c r="CD19">
        <v>1.247315</v>
      </c>
      <c r="CE19">
        <v>1.1766799999999999</v>
      </c>
      <c r="CF19">
        <v>1.276135</v>
      </c>
      <c r="CG19">
        <v>1.2703199999999999</v>
      </c>
      <c r="CH19">
        <v>1.2782125</v>
      </c>
      <c r="CI19">
        <v>1.2741475</v>
      </c>
      <c r="CJ19">
        <v>1.2847124999999999</v>
      </c>
      <c r="CK19">
        <v>1.2056150000000001</v>
      </c>
      <c r="CL19">
        <v>1.2896125000000001</v>
      </c>
      <c r="CM19">
        <v>1.2058949999999999</v>
      </c>
      <c r="CN19">
        <v>1.2030749999999999</v>
      </c>
      <c r="CO19">
        <v>1.2750025</v>
      </c>
      <c r="CP19">
        <v>1.333485</v>
      </c>
      <c r="CQ19">
        <v>1.337825</v>
      </c>
    </row>
    <row r="20" spans="1:95" x14ac:dyDescent="0.25">
      <c r="A20">
        <v>1.98004302851041</v>
      </c>
      <c r="B20">
        <f t="shared" si="3"/>
        <v>2.2928898270150548</v>
      </c>
      <c r="C20">
        <f t="shared" si="4"/>
        <v>0.50503952974814992</v>
      </c>
      <c r="E20">
        <v>0</v>
      </c>
      <c r="F20">
        <v>2.81582500000001E-2</v>
      </c>
      <c r="G20">
        <v>2.9039499999999999E-2</v>
      </c>
      <c r="H20">
        <v>-4.5742499999999797E-2</v>
      </c>
      <c r="I20">
        <v>-4.8939999999999997E-2</v>
      </c>
      <c r="J20">
        <v>-0.13145499999999999</v>
      </c>
      <c r="K20">
        <v>-0.35787000000000002</v>
      </c>
      <c r="L20">
        <v>-9.6100000000000296E-2</v>
      </c>
      <c r="M20">
        <v>-9.1725000000000306E-2</v>
      </c>
      <c r="N20">
        <v>-0.22896250000000001</v>
      </c>
      <c r="O20">
        <v>-4.4354999999999499E-2</v>
      </c>
      <c r="P20">
        <v>-4.0204999999999803E-2</v>
      </c>
      <c r="Q20">
        <v>-6.0365000000000002E-2</v>
      </c>
      <c r="R20">
        <v>-0.26822249999999997</v>
      </c>
      <c r="S20">
        <v>-0.13321250000000001</v>
      </c>
      <c r="T20">
        <v>-2.0890000000000099E-2</v>
      </c>
      <c r="U20">
        <v>-1.87250000000003E-2</v>
      </c>
      <c r="V20">
        <v>-1.95425000000005E-2</v>
      </c>
      <c r="W20">
        <v>-1.56500000000004E-2</v>
      </c>
      <c r="X20">
        <v>-1.31250000000001E-2</v>
      </c>
      <c r="Y20">
        <v>-7.58049999999999E-2</v>
      </c>
      <c r="Z20">
        <v>2.5299999999999701E-2</v>
      </c>
      <c r="AA20">
        <v>-0.12223000000000001</v>
      </c>
      <c r="AB20">
        <v>-0.12328500000000001</v>
      </c>
      <c r="AC20">
        <v>-6.4847500000000002E-2</v>
      </c>
      <c r="AD20">
        <v>4.9564999999999401E-2</v>
      </c>
      <c r="AE20">
        <v>4.8542499999999898E-2</v>
      </c>
      <c r="AF20">
        <v>-5.7712500000000097E-2</v>
      </c>
      <c r="AG20">
        <v>0.21022750000000001</v>
      </c>
      <c r="AH20">
        <v>0.31222750000000099</v>
      </c>
      <c r="AI20">
        <v>0.221219999999999</v>
      </c>
      <c r="AJ20">
        <v>0.22720750000000001</v>
      </c>
      <c r="AK20">
        <v>0.31441249999999998</v>
      </c>
      <c r="AL20">
        <v>0.322794999999999</v>
      </c>
      <c r="AM20">
        <v>0.5261325</v>
      </c>
      <c r="AN20">
        <v>0.46436749999999999</v>
      </c>
      <c r="AO20">
        <v>0.54826250000000099</v>
      </c>
      <c r="AP20">
        <v>0.59488750000000001</v>
      </c>
      <c r="AQ20">
        <v>0.62733249999999996</v>
      </c>
      <c r="AR20">
        <v>0.60623749999999998</v>
      </c>
      <c r="AS20">
        <v>0.66529249999999795</v>
      </c>
      <c r="AT20">
        <v>0.78273999999999999</v>
      </c>
      <c r="AU20">
        <v>0.79433750000000003</v>
      </c>
      <c r="AV20">
        <v>0.796875000000001</v>
      </c>
      <c r="AW20">
        <v>0.76274750000000002</v>
      </c>
      <c r="AX20">
        <v>0.83821749999999995</v>
      </c>
      <c r="AY20">
        <v>0.90776749999999995</v>
      </c>
      <c r="AZ20">
        <v>0.79869999999999997</v>
      </c>
      <c r="BA20">
        <v>0.97638499999999995</v>
      </c>
      <c r="BB20">
        <v>0.77565249999999997</v>
      </c>
      <c r="BC20">
        <v>0.90121249999999997</v>
      </c>
      <c r="BD20">
        <v>0.92711250000000101</v>
      </c>
      <c r="BE20">
        <v>1.0458050000000001</v>
      </c>
      <c r="BF20">
        <v>0.94741749999999902</v>
      </c>
      <c r="BG20">
        <v>1.0130049999999999</v>
      </c>
      <c r="BH20">
        <v>1.0194049999999999</v>
      </c>
      <c r="BI20">
        <v>1.0179750000000001</v>
      </c>
      <c r="BJ20">
        <v>0.96250000000000002</v>
      </c>
      <c r="BK20">
        <v>1.1197075000000001</v>
      </c>
      <c r="BL20">
        <v>0.97737499999999999</v>
      </c>
      <c r="BM20">
        <v>0.94737749999999998</v>
      </c>
      <c r="BN20">
        <v>0.90622249999999904</v>
      </c>
      <c r="BO20">
        <v>1.0648925</v>
      </c>
      <c r="BP20">
        <v>0.97806000000000004</v>
      </c>
      <c r="BQ20">
        <v>0.98112750000000004</v>
      </c>
      <c r="BR20">
        <v>1.0879574999999999</v>
      </c>
      <c r="BS20">
        <v>1.0887175</v>
      </c>
      <c r="BT20">
        <v>1.0095449999999999</v>
      </c>
      <c r="BU20">
        <v>1.1912374999999999</v>
      </c>
      <c r="BV20">
        <v>0.99035000000000095</v>
      </c>
      <c r="BW20">
        <v>0.99364249999999998</v>
      </c>
      <c r="BX20">
        <v>1.081005</v>
      </c>
      <c r="BY20">
        <v>1.0352250000000001</v>
      </c>
      <c r="BZ20">
        <v>1.2221850000000001</v>
      </c>
      <c r="CA20">
        <v>1.2281899999999999</v>
      </c>
      <c r="CB20">
        <v>1.0597049999999999</v>
      </c>
      <c r="CC20">
        <v>1.1537675000000001</v>
      </c>
      <c r="CD20">
        <v>1.1552325000000001</v>
      </c>
      <c r="CE20">
        <v>1.0734649999999999</v>
      </c>
      <c r="CF20">
        <v>1.18563</v>
      </c>
      <c r="CG20">
        <v>1.1773575000000001</v>
      </c>
      <c r="CH20">
        <v>1.1872100000000001</v>
      </c>
      <c r="CI20">
        <v>1.1847924999999999</v>
      </c>
      <c r="CJ20">
        <v>1.1944600000000001</v>
      </c>
      <c r="CK20">
        <v>1.10162</v>
      </c>
      <c r="CL20">
        <v>1.1910575000000001</v>
      </c>
      <c r="CM20">
        <v>1.0922799999999999</v>
      </c>
      <c r="CN20">
        <v>1.08039</v>
      </c>
      <c r="CO20">
        <v>1.1608425</v>
      </c>
      <c r="CP20">
        <v>1.2276075</v>
      </c>
      <c r="CQ20">
        <v>1.2308250000000001</v>
      </c>
    </row>
    <row r="21" spans="1:95" x14ac:dyDescent="0.25">
      <c r="A21">
        <v>1.89368724267276</v>
      </c>
      <c r="B21">
        <f t="shared" si="3"/>
        <v>2.1928898270150561</v>
      </c>
      <c r="C21">
        <f t="shared" si="4"/>
        <v>0.52807030509884767</v>
      </c>
      <c r="E21">
        <v>0</v>
      </c>
      <c r="F21">
        <v>3.3529249999999997E-2</v>
      </c>
      <c r="G21">
        <v>3.3156750000000103E-2</v>
      </c>
      <c r="H21">
        <v>-5.0525000000000202E-2</v>
      </c>
      <c r="I21">
        <v>-5.4615000000000101E-2</v>
      </c>
      <c r="J21">
        <v>-0.14842250000000001</v>
      </c>
      <c r="K21">
        <v>-0.41333750000000002</v>
      </c>
      <c r="L21">
        <v>-0.10349</v>
      </c>
      <c r="M21">
        <v>-0.10517749999999999</v>
      </c>
      <c r="N21">
        <v>-0.26080249999999999</v>
      </c>
      <c r="O21">
        <v>-4.5429999999999603E-2</v>
      </c>
      <c r="P21">
        <v>-3.9510000000000399E-2</v>
      </c>
      <c r="Q21">
        <v>-6.0002500000000403E-2</v>
      </c>
      <c r="R21">
        <v>-0.30082500000000001</v>
      </c>
      <c r="S21">
        <v>-0.1416925</v>
      </c>
      <c r="T21">
        <v>-1.3062500000000201E-2</v>
      </c>
      <c r="U21">
        <v>-1.3947499999999601E-2</v>
      </c>
      <c r="V21">
        <v>-1.1509999999999901E-2</v>
      </c>
      <c r="W21">
        <v>-9.9499999999998999E-3</v>
      </c>
      <c r="X21">
        <v>-5.5174999999998402E-3</v>
      </c>
      <c r="Y21">
        <v>-7.9357499999999498E-2</v>
      </c>
      <c r="Z21">
        <v>3.8165000000000199E-2</v>
      </c>
      <c r="AA21">
        <v>-0.1457775</v>
      </c>
      <c r="AB21">
        <v>-0.14854999999999999</v>
      </c>
      <c r="AC21">
        <v>-7.9837500000000505E-2</v>
      </c>
      <c r="AD21">
        <v>2.1300000000001899E-3</v>
      </c>
      <c r="AE21">
        <v>-6.15000000000698E-4</v>
      </c>
      <c r="AF21">
        <v>-0.123074999999999</v>
      </c>
      <c r="AG21">
        <v>0.15171000000000001</v>
      </c>
      <c r="AH21">
        <v>0.27155999999999902</v>
      </c>
      <c r="AI21">
        <v>0.16535749999999999</v>
      </c>
      <c r="AJ21">
        <v>0.15086000000000099</v>
      </c>
      <c r="AK21">
        <v>0.25536249999999999</v>
      </c>
      <c r="AL21">
        <v>0.26096250000000099</v>
      </c>
      <c r="AM21">
        <v>0.47391</v>
      </c>
      <c r="AN21">
        <v>0.40226499999999998</v>
      </c>
      <c r="AO21">
        <v>0.49807249999999897</v>
      </c>
      <c r="AP21">
        <v>0.53790499999999997</v>
      </c>
      <c r="AQ21">
        <v>0.57879250000000104</v>
      </c>
      <c r="AR21">
        <v>0.54913500000000004</v>
      </c>
      <c r="AS21">
        <v>0.61185500000000104</v>
      </c>
      <c r="AT21">
        <v>0.74724000000000002</v>
      </c>
      <c r="AU21">
        <v>0.769015</v>
      </c>
      <c r="AV21">
        <v>0.77693000000000001</v>
      </c>
      <c r="AW21">
        <v>0.74894999999999901</v>
      </c>
      <c r="AX21">
        <v>0.83734000000000097</v>
      </c>
      <c r="AY21">
        <v>0.92072750000000003</v>
      </c>
      <c r="AZ21">
        <v>0.79361749999999998</v>
      </c>
      <c r="BA21">
        <v>1.007765</v>
      </c>
      <c r="BB21">
        <v>0.77820999999999996</v>
      </c>
      <c r="BC21">
        <v>0.92473749999999899</v>
      </c>
      <c r="BD21">
        <v>0.95731750000000004</v>
      </c>
      <c r="BE21">
        <v>1.10158</v>
      </c>
      <c r="BF21">
        <v>0.98708999999999902</v>
      </c>
      <c r="BG21">
        <v>1.0638000000000001</v>
      </c>
      <c r="BH21">
        <v>1.059825</v>
      </c>
      <c r="BI21">
        <v>1.0546225</v>
      </c>
      <c r="BJ21">
        <v>0.99324500000000004</v>
      </c>
      <c r="BK21">
        <v>1.1738774999999999</v>
      </c>
      <c r="BL21">
        <v>1.0074425</v>
      </c>
      <c r="BM21">
        <v>0.96791250000000095</v>
      </c>
      <c r="BN21">
        <v>0.91533249999999999</v>
      </c>
      <c r="BO21">
        <v>1.1011774999999999</v>
      </c>
      <c r="BP21">
        <v>0.99599499999999896</v>
      </c>
      <c r="BQ21">
        <v>0.99715500000000101</v>
      </c>
      <c r="BR21">
        <v>1.122455</v>
      </c>
      <c r="BS21">
        <v>1.1264324999999999</v>
      </c>
      <c r="BT21">
        <v>1.0322549999999999</v>
      </c>
      <c r="BU21">
        <v>1.2376149999999999</v>
      </c>
      <c r="BV21">
        <v>1.0031000000000001</v>
      </c>
      <c r="BW21">
        <v>1.005655</v>
      </c>
      <c r="BX21">
        <v>1.1105525000000001</v>
      </c>
      <c r="BY21">
        <v>1.0481674999999999</v>
      </c>
      <c r="BZ21">
        <v>1.26427</v>
      </c>
      <c r="CA21">
        <v>1.2658</v>
      </c>
      <c r="CB21">
        <v>1.0673775000000001</v>
      </c>
      <c r="CC21">
        <v>1.1768525000000001</v>
      </c>
      <c r="CD21">
        <v>1.17815</v>
      </c>
      <c r="CE21">
        <v>1.0805450000000001</v>
      </c>
      <c r="CF21">
        <v>1.2095425</v>
      </c>
      <c r="CG21">
        <v>1.2004375</v>
      </c>
      <c r="CH21">
        <v>1.2098949999999999</v>
      </c>
      <c r="CI21">
        <v>1.2069825000000001</v>
      </c>
      <c r="CJ21">
        <v>1.2099424999999999</v>
      </c>
      <c r="CK21">
        <v>1.1008225</v>
      </c>
      <c r="CL21">
        <v>1.2026975</v>
      </c>
      <c r="CM21">
        <v>1.0867975000000001</v>
      </c>
      <c r="CN21">
        <v>1.069725</v>
      </c>
      <c r="CO21">
        <v>1.1612575000000001</v>
      </c>
      <c r="CP21">
        <v>1.239565</v>
      </c>
      <c r="CQ21">
        <v>1.2430025</v>
      </c>
    </row>
    <row r="22" spans="1:95" x14ac:dyDescent="0.25">
      <c r="A22">
        <v>1.80733145683511</v>
      </c>
      <c r="B22">
        <f t="shared" si="3"/>
        <v>2.0928898270150573</v>
      </c>
      <c r="C22">
        <f t="shared" si="4"/>
        <v>0.55330193928629989</v>
      </c>
      <c r="E22">
        <v>0</v>
      </c>
      <c r="F22">
        <v>3.7407999999999997E-2</v>
      </c>
      <c r="G22">
        <v>4.0312749999999897E-2</v>
      </c>
      <c r="H22">
        <v>-5.0647499999999998E-2</v>
      </c>
      <c r="I22">
        <v>-5.1549999999999999E-2</v>
      </c>
      <c r="J22">
        <v>-0.16606750000000001</v>
      </c>
      <c r="K22">
        <v>-0.47365750000000001</v>
      </c>
      <c r="L22">
        <v>-0.10907500000000001</v>
      </c>
      <c r="M22">
        <v>-0.1154525</v>
      </c>
      <c r="N22">
        <v>-0.29347499999999999</v>
      </c>
      <c r="O22">
        <v>-3.3252500000000101E-2</v>
      </c>
      <c r="P22">
        <v>-2.9829999999999999E-2</v>
      </c>
      <c r="Q22">
        <v>-4.7022499999999703E-2</v>
      </c>
      <c r="R22">
        <v>-0.33295750000000002</v>
      </c>
      <c r="S22">
        <v>-0.14555499999999999</v>
      </c>
      <c r="T22">
        <v>7.4450000000001503E-3</v>
      </c>
      <c r="U22">
        <v>9.1399999999999294E-3</v>
      </c>
      <c r="V22">
        <v>1.3527499999999901E-2</v>
      </c>
      <c r="W22">
        <v>1.06975E-2</v>
      </c>
      <c r="X22">
        <v>1.52874999999999E-2</v>
      </c>
      <c r="Y22">
        <v>-7.0120000000000196E-2</v>
      </c>
      <c r="Z22">
        <v>7.0825000000000596E-2</v>
      </c>
      <c r="AA22">
        <v>-0.1603675</v>
      </c>
      <c r="AB22">
        <v>-0.16382250000000001</v>
      </c>
      <c r="AC22">
        <v>-8.34450000000002E-2</v>
      </c>
      <c r="AD22">
        <v>-6.6119999999999707E-2</v>
      </c>
      <c r="AE22">
        <v>-7.2137500000000201E-2</v>
      </c>
      <c r="AF22">
        <v>-0.22396750000000001</v>
      </c>
      <c r="AG22">
        <v>2.4865000000000099E-2</v>
      </c>
      <c r="AH22">
        <v>0.16723249999999901</v>
      </c>
      <c r="AI22">
        <v>3.7404999999999702E-2</v>
      </c>
      <c r="AJ22">
        <v>-1.0837500000000101E-2</v>
      </c>
      <c r="AK22">
        <v>0.116882499999999</v>
      </c>
      <c r="AL22">
        <v>0.11743000000000101</v>
      </c>
      <c r="AM22">
        <v>0.32795249999999898</v>
      </c>
      <c r="AN22">
        <v>0.24394249999999901</v>
      </c>
      <c r="AO22">
        <v>0.355350000000001</v>
      </c>
      <c r="AP22">
        <v>0.36184500000000103</v>
      </c>
      <c r="AQ22">
        <v>0.40137250000000102</v>
      </c>
      <c r="AR22">
        <v>0.34290500000000002</v>
      </c>
      <c r="AS22">
        <v>0.41840000000000099</v>
      </c>
      <c r="AT22">
        <v>0.57515499999999997</v>
      </c>
      <c r="AU22">
        <v>0.60188249999999999</v>
      </c>
      <c r="AV22">
        <v>0.60611250000000005</v>
      </c>
      <c r="AW22">
        <v>0.56223000000000101</v>
      </c>
      <c r="AX22">
        <v>0.66849250000000005</v>
      </c>
      <c r="AY22">
        <v>0.7682525</v>
      </c>
      <c r="AZ22">
        <v>0.61488750000000003</v>
      </c>
      <c r="BA22">
        <v>0.8742375</v>
      </c>
      <c r="BB22">
        <v>0.59861000000000097</v>
      </c>
      <c r="BC22">
        <v>0.77540750000000003</v>
      </c>
      <c r="BD22">
        <v>0.81378249999999996</v>
      </c>
      <c r="BE22">
        <v>0.98578250000000001</v>
      </c>
      <c r="BF22">
        <v>0.853155000000001</v>
      </c>
      <c r="BG22">
        <v>0.94149750000000099</v>
      </c>
      <c r="BH22">
        <v>0.93783000000000005</v>
      </c>
      <c r="BI22">
        <v>0.93203499999999995</v>
      </c>
      <c r="BJ22">
        <v>0.85873499999999903</v>
      </c>
      <c r="BK22">
        <v>1.0561225000000001</v>
      </c>
      <c r="BL22">
        <v>0.86401416666666697</v>
      </c>
      <c r="BM22">
        <v>0.818770833333334</v>
      </c>
      <c r="BN22">
        <v>0.75912416666666704</v>
      </c>
      <c r="BO22">
        <v>0.96712166666666699</v>
      </c>
      <c r="BP22">
        <v>0.84390083333333399</v>
      </c>
      <c r="BQ22">
        <v>0.83807083333333299</v>
      </c>
      <c r="BR22">
        <v>0.98209666666666495</v>
      </c>
      <c r="BS22">
        <v>0.98481166666666697</v>
      </c>
      <c r="BT22">
        <v>0.87752750000000002</v>
      </c>
      <c r="BU22">
        <v>1.1117375</v>
      </c>
      <c r="BV22">
        <v>0.83710416666666698</v>
      </c>
      <c r="BW22">
        <v>0.84053083333333301</v>
      </c>
      <c r="BX22">
        <v>0.95662499999999995</v>
      </c>
      <c r="BY22">
        <v>0.88168583333333295</v>
      </c>
      <c r="BZ22">
        <v>1.12743666666667</v>
      </c>
      <c r="CA22">
        <v>1.1234</v>
      </c>
      <c r="CB22">
        <v>0.89680416666666596</v>
      </c>
      <c r="CC22">
        <v>1.0217225000000001</v>
      </c>
      <c r="CD22">
        <v>1.0225625</v>
      </c>
      <c r="CE22">
        <v>0.91072666666666702</v>
      </c>
      <c r="CF22">
        <v>1.05809333333333</v>
      </c>
      <c r="CG22">
        <v>1.0456116666666699</v>
      </c>
      <c r="CH22">
        <v>1.0569683333333399</v>
      </c>
      <c r="CI22">
        <v>1.049255</v>
      </c>
      <c r="CJ22">
        <v>1.0546866666666701</v>
      </c>
      <c r="CK22">
        <v>0.92670666666666701</v>
      </c>
      <c r="CL22">
        <v>1.0418658333333299</v>
      </c>
      <c r="CM22">
        <v>0.90255166666666797</v>
      </c>
      <c r="CN22">
        <v>0.88020583333333402</v>
      </c>
      <c r="CO22">
        <v>0.98638416666666695</v>
      </c>
      <c r="CP22">
        <v>1.0761825</v>
      </c>
      <c r="CQ22">
        <v>1.0772124999999999</v>
      </c>
    </row>
    <row r="24" spans="1:95" x14ac:dyDescent="0.25">
      <c r="D24" s="2" t="str">
        <f t="shared" ref="B24:D25" si="5">D1</f>
        <v>P [kN]</v>
      </c>
      <c r="E24">
        <f>MAX($E1:E1)</f>
        <v>0</v>
      </c>
      <c r="F24">
        <f>MAX($E1:F1)</f>
        <v>126</v>
      </c>
      <c r="G24">
        <f>MAX($E1:G1)</f>
        <v>126</v>
      </c>
      <c r="H24">
        <f>MAX($E1:H1)</f>
        <v>134</v>
      </c>
      <c r="I24">
        <f>MAX($E1:I1)</f>
        <v>135</v>
      </c>
      <c r="J24">
        <f>MAX($E1:J1)</f>
        <v>135</v>
      </c>
      <c r="K24">
        <f>MAX($E1:K1)</f>
        <v>143</v>
      </c>
      <c r="L24">
        <f>MAX($E1:L1)</f>
        <v>144</v>
      </c>
      <c r="M24">
        <f>MAX($E1:M1)</f>
        <v>145</v>
      </c>
      <c r="N24">
        <f>MAX($E1:N1)</f>
        <v>151</v>
      </c>
      <c r="O24">
        <f>MAX($E1:O1)</f>
        <v>152</v>
      </c>
      <c r="P24">
        <f>MAX($E1:P1)</f>
        <v>154</v>
      </c>
      <c r="Q24">
        <f>MAX($E1:Q1)</f>
        <v>166</v>
      </c>
      <c r="R24">
        <f>MAX($E1:R1)</f>
        <v>166</v>
      </c>
      <c r="S24">
        <f>MAX($E1:S1)</f>
        <v>166</v>
      </c>
      <c r="T24">
        <f>MAX($E1:T1)</f>
        <v>166</v>
      </c>
      <c r="U24">
        <f>MAX($E1:U1)</f>
        <v>166</v>
      </c>
      <c r="V24">
        <f>MAX($E1:V1)</f>
        <v>166</v>
      </c>
      <c r="W24">
        <f>MAX($E1:W1)</f>
        <v>166</v>
      </c>
      <c r="X24">
        <f>MAX($E1:X1)</f>
        <v>166</v>
      </c>
      <c r="Y24">
        <f>MAX($E1:Y1)</f>
        <v>166</v>
      </c>
      <c r="Z24">
        <f>MAX($E1:Z1)</f>
        <v>173</v>
      </c>
      <c r="AA24">
        <f>MAX($E1:AA1)</f>
        <v>194</v>
      </c>
      <c r="AB24">
        <f>MAX($E1:AB1)</f>
        <v>194</v>
      </c>
      <c r="AC24">
        <f>MAX($E1:AC1)</f>
        <v>194</v>
      </c>
      <c r="AD24">
        <f>MAX($E1:AD1)</f>
        <v>216</v>
      </c>
      <c r="AE24">
        <f>MAX($E1:AE1)</f>
        <v>216</v>
      </c>
      <c r="AF24">
        <f>MAX($E1:AF1)</f>
        <v>216</v>
      </c>
      <c r="AG24">
        <f>MAX($E1:AG1)</f>
        <v>218</v>
      </c>
      <c r="AH24">
        <f>MAX($E1:AH1)</f>
        <v>218</v>
      </c>
      <c r="AI24">
        <f>MAX($E1:AI1)</f>
        <v>219</v>
      </c>
      <c r="AJ24">
        <f>MAX($E1:AJ1)</f>
        <v>245</v>
      </c>
      <c r="AK24">
        <f>MAX($E1:AK1)</f>
        <v>246</v>
      </c>
      <c r="AL24">
        <f>MAX($E1:AL1)</f>
        <v>246</v>
      </c>
      <c r="AM24">
        <f>MAX($E1:AM1)</f>
        <v>269</v>
      </c>
      <c r="AN24">
        <f>MAX($E1:AN1)</f>
        <v>269</v>
      </c>
      <c r="AO24">
        <f>MAX($E1:AO1)</f>
        <v>269</v>
      </c>
      <c r="AP24">
        <f>MAX($E1:AP1)</f>
        <v>292</v>
      </c>
      <c r="AQ24">
        <f>MAX($E1:AQ1)</f>
        <v>292</v>
      </c>
      <c r="AR24">
        <f>MAX($E1:AR1)</f>
        <v>292</v>
      </c>
      <c r="AS24">
        <f>MAX($E1:AS1)</f>
        <v>292</v>
      </c>
      <c r="AT24">
        <f>MAX($E1:AT1)</f>
        <v>293</v>
      </c>
      <c r="AU24">
        <f>MAX($E1:AU1)</f>
        <v>293</v>
      </c>
      <c r="AV24">
        <f>MAX($E1:AV1)</f>
        <v>294</v>
      </c>
      <c r="AW24">
        <f>MAX($E1:AW1)</f>
        <v>294</v>
      </c>
      <c r="AX24">
        <f>MAX($E1:AX1)</f>
        <v>294</v>
      </c>
      <c r="AY24">
        <f>MAX($E1:AY1)</f>
        <v>294</v>
      </c>
      <c r="AZ24">
        <f>MAX($E1:AZ1)</f>
        <v>294</v>
      </c>
      <c r="BA24">
        <f>MAX($E1:BA1)</f>
        <v>308</v>
      </c>
      <c r="BB24">
        <f>MAX($E1:BB1)</f>
        <v>308</v>
      </c>
      <c r="BC24">
        <f>MAX($E1:BC1)</f>
        <v>309</v>
      </c>
      <c r="BD24">
        <f>MAX($E1:BD1)</f>
        <v>313</v>
      </c>
      <c r="BE24">
        <f>MAX($E1:BE1)</f>
        <v>321</v>
      </c>
      <c r="BF24">
        <f>MAX($E1:BF1)</f>
        <v>321</v>
      </c>
      <c r="BG24">
        <f>MAX($E1:BG1)</f>
        <v>321</v>
      </c>
      <c r="BH24">
        <f>MAX($E1:BH1)</f>
        <v>326</v>
      </c>
      <c r="BI24">
        <f>MAX($E1:BI1)</f>
        <v>327</v>
      </c>
      <c r="BJ24">
        <f>MAX($E1:BJ1)</f>
        <v>327</v>
      </c>
      <c r="BK24">
        <f>MAX($E1:BK1)</f>
        <v>329</v>
      </c>
      <c r="BL24">
        <f>MAX($E1:BL1)</f>
        <v>330</v>
      </c>
      <c r="BM24">
        <f>MAX($E1:BM1)</f>
        <v>330</v>
      </c>
      <c r="BN24">
        <f>MAX($E1:BN1)</f>
        <v>330</v>
      </c>
      <c r="BO24">
        <f>MAX($E1:BO1)</f>
        <v>332</v>
      </c>
      <c r="BP24">
        <f>MAX($E1:BP1)</f>
        <v>334</v>
      </c>
      <c r="BQ24">
        <f>MAX($E1:BQ1)</f>
        <v>334</v>
      </c>
      <c r="BR24">
        <f>MAX($E1:BR1)</f>
        <v>335</v>
      </c>
      <c r="BS24">
        <f>MAX($E1:BS1)</f>
        <v>335</v>
      </c>
      <c r="BT24">
        <f>MAX($E1:BT1)</f>
        <v>336</v>
      </c>
      <c r="BU24">
        <f>MAX($E1:BU1)</f>
        <v>336</v>
      </c>
      <c r="BV24">
        <f>MAX($E1:BV1)</f>
        <v>337</v>
      </c>
      <c r="BW24">
        <f>MAX($E1:BW1)</f>
        <v>337</v>
      </c>
      <c r="BX24">
        <f>MAX($E1:BX1)</f>
        <v>338</v>
      </c>
      <c r="BY24">
        <f>MAX($E1:BY1)</f>
        <v>338</v>
      </c>
      <c r="BZ24">
        <f>MAX($E1:BZ1)</f>
        <v>338</v>
      </c>
      <c r="CA24">
        <f>MAX($E1:CA1)</f>
        <v>339</v>
      </c>
      <c r="CB24">
        <f>MAX($E1:CB1)</f>
        <v>339</v>
      </c>
      <c r="CC24">
        <f>MAX($E1:CC1)</f>
        <v>339</v>
      </c>
      <c r="CD24">
        <f>MAX($E1:CD1)</f>
        <v>339</v>
      </c>
      <c r="CE24">
        <f>MAX($E1:CE1)</f>
        <v>340</v>
      </c>
      <c r="CF24">
        <f>MAX($E1:CF1)</f>
        <v>340</v>
      </c>
      <c r="CG24">
        <f>MAX($E1:CG1)</f>
        <v>340</v>
      </c>
      <c r="CH24">
        <f>MAX($E1:CH1)</f>
        <v>340</v>
      </c>
      <c r="CI24">
        <f>MAX($E1:CI1)</f>
        <v>340</v>
      </c>
      <c r="CJ24">
        <f>MAX($E1:CJ1)</f>
        <v>340</v>
      </c>
      <c r="CK24">
        <f>MAX($E1:CK1)</f>
        <v>340</v>
      </c>
      <c r="CL24">
        <f>MAX($E1:CL1)</f>
        <v>340</v>
      </c>
      <c r="CM24">
        <f>MAX($E1:CM1)</f>
        <v>340</v>
      </c>
      <c r="CN24">
        <f>MAX($E1:CN1)</f>
        <v>344</v>
      </c>
      <c r="CO24">
        <f>MAX($E1:CO1)</f>
        <v>346</v>
      </c>
      <c r="CP24">
        <f>MAX($E1:CP1)</f>
        <v>346</v>
      </c>
      <c r="CQ24">
        <f>MAX($E1:CQ1)</f>
        <v>346</v>
      </c>
    </row>
    <row r="25" spans="1:95" x14ac:dyDescent="0.25">
      <c r="A25" s="2" t="str">
        <f>A2</f>
        <v>M/(Vd)</v>
      </c>
      <c r="B25" s="2" t="str">
        <f t="shared" si="5"/>
        <v>x</v>
      </c>
      <c r="C25" s="2" t="str">
        <f t="shared" si="5"/>
        <v>Vd/M</v>
      </c>
      <c r="D25" s="2" t="str">
        <f t="shared" si="5"/>
        <v>V [kN]</v>
      </c>
      <c r="E25">
        <f>MAX($E2:E2)</f>
        <v>30</v>
      </c>
      <c r="F25">
        <f>MAX($E2:F2)</f>
        <v>93</v>
      </c>
      <c r="G25">
        <f>MAX($E2:G2)</f>
        <v>93</v>
      </c>
      <c r="H25">
        <f>MAX($E2:H2)</f>
        <v>97</v>
      </c>
      <c r="I25">
        <f>MAX($E2:I2)</f>
        <v>97.5</v>
      </c>
      <c r="J25">
        <f>MAX($E2:J2)</f>
        <v>97.5</v>
      </c>
      <c r="K25">
        <f>MAX($E2:K2)</f>
        <v>101.5</v>
      </c>
      <c r="L25">
        <f>MAX($E2:L2)</f>
        <v>102</v>
      </c>
      <c r="M25">
        <f>MAX($E2:M2)</f>
        <v>102.5</v>
      </c>
      <c r="N25">
        <f>MAX($E2:N2)</f>
        <v>105.5</v>
      </c>
      <c r="O25">
        <f>MAX($E2:O2)</f>
        <v>106</v>
      </c>
      <c r="P25">
        <f>MAX($E2:P2)</f>
        <v>107</v>
      </c>
      <c r="Q25">
        <f>MAX($E2:Q2)</f>
        <v>113</v>
      </c>
      <c r="R25">
        <f>MAX($E2:R2)</f>
        <v>113</v>
      </c>
      <c r="S25">
        <f>MAX($E2:S2)</f>
        <v>113</v>
      </c>
      <c r="T25">
        <f>MAX($E2:T2)</f>
        <v>113</v>
      </c>
      <c r="U25">
        <f>MAX($E2:U2)</f>
        <v>113</v>
      </c>
      <c r="V25">
        <f>MAX($E2:V2)</f>
        <v>113</v>
      </c>
      <c r="W25">
        <f>MAX($E2:W2)</f>
        <v>113</v>
      </c>
      <c r="X25">
        <f>MAX($E2:X2)</f>
        <v>113</v>
      </c>
      <c r="Y25">
        <f>MAX($E2:Y2)</f>
        <v>113</v>
      </c>
      <c r="Z25">
        <f>MAX($E2:Z2)</f>
        <v>116.5</v>
      </c>
      <c r="AA25">
        <f>MAX($E2:AA2)</f>
        <v>127</v>
      </c>
      <c r="AB25">
        <f>MAX($E2:AB2)</f>
        <v>127</v>
      </c>
      <c r="AC25">
        <f>MAX($E2:AC2)</f>
        <v>127</v>
      </c>
      <c r="AD25">
        <f>MAX($E2:AD2)</f>
        <v>138</v>
      </c>
      <c r="AE25">
        <f>MAX($E2:AE2)</f>
        <v>138</v>
      </c>
      <c r="AF25">
        <f>MAX($E2:AF2)</f>
        <v>138</v>
      </c>
      <c r="AG25">
        <f>MAX($E2:AG2)</f>
        <v>139</v>
      </c>
      <c r="AH25">
        <f>MAX($E2:AH2)</f>
        <v>139</v>
      </c>
      <c r="AI25">
        <f>MAX($E2:AI2)</f>
        <v>139.5</v>
      </c>
      <c r="AJ25">
        <f>MAX($E2:AJ2)</f>
        <v>152.5</v>
      </c>
      <c r="AK25">
        <f>MAX($E2:AK2)</f>
        <v>153</v>
      </c>
      <c r="AL25">
        <f>MAX($E2:AL2)</f>
        <v>153</v>
      </c>
      <c r="AM25">
        <f>MAX($E2:AM2)</f>
        <v>164.5</v>
      </c>
      <c r="AN25">
        <f>MAX($E2:AN2)</f>
        <v>164.5</v>
      </c>
      <c r="AO25">
        <f>MAX($E2:AO2)</f>
        <v>164.5</v>
      </c>
      <c r="AP25">
        <f>MAX($E2:AP2)</f>
        <v>176</v>
      </c>
      <c r="AQ25">
        <f>MAX($E2:AQ2)</f>
        <v>176</v>
      </c>
      <c r="AR25">
        <f>MAX($E2:AR2)</f>
        <v>176</v>
      </c>
      <c r="AS25">
        <f>MAX($E2:AS2)</f>
        <v>176</v>
      </c>
      <c r="AT25">
        <f>MAX($E2:AT2)</f>
        <v>176.5</v>
      </c>
      <c r="AU25">
        <f>MAX($E2:AU2)</f>
        <v>176.5</v>
      </c>
      <c r="AV25">
        <f>MAX($E2:AV2)</f>
        <v>177</v>
      </c>
      <c r="AW25">
        <f>MAX($E2:AW2)</f>
        <v>177</v>
      </c>
      <c r="AX25">
        <f>MAX($E2:AX2)</f>
        <v>177</v>
      </c>
      <c r="AY25">
        <f>MAX($E2:AY2)</f>
        <v>177</v>
      </c>
      <c r="AZ25">
        <f>MAX($E2:AZ2)</f>
        <v>177</v>
      </c>
      <c r="BA25">
        <f>MAX($E2:BA2)</f>
        <v>184</v>
      </c>
      <c r="BB25">
        <f>MAX($E2:BB2)</f>
        <v>184</v>
      </c>
      <c r="BC25">
        <f>MAX($E2:BC2)</f>
        <v>184.5</v>
      </c>
      <c r="BD25">
        <f>MAX($E2:BD2)</f>
        <v>186.5</v>
      </c>
      <c r="BE25">
        <f>MAX($E2:BE2)</f>
        <v>190.5</v>
      </c>
      <c r="BF25">
        <f>MAX($E2:BF2)</f>
        <v>190.5</v>
      </c>
      <c r="BG25">
        <f>MAX($E2:BG2)</f>
        <v>190.5</v>
      </c>
      <c r="BH25">
        <f>MAX($E2:BH2)</f>
        <v>193</v>
      </c>
      <c r="BI25">
        <f>MAX($E2:BI2)</f>
        <v>193.5</v>
      </c>
      <c r="BJ25">
        <f>MAX($E2:BJ2)</f>
        <v>193.5</v>
      </c>
      <c r="BK25">
        <f>MAX($E2:BK2)</f>
        <v>194.5</v>
      </c>
      <c r="BL25">
        <f>MAX($E2:BL2)</f>
        <v>195</v>
      </c>
      <c r="BM25">
        <f>MAX($E2:BM2)</f>
        <v>195</v>
      </c>
      <c r="BN25">
        <f>MAX($E2:BN2)</f>
        <v>195</v>
      </c>
      <c r="BO25">
        <f>MAX($E2:BO2)</f>
        <v>196</v>
      </c>
      <c r="BP25">
        <f>MAX($E2:BP2)</f>
        <v>197</v>
      </c>
      <c r="BQ25">
        <f>MAX($E2:BQ2)</f>
        <v>197</v>
      </c>
      <c r="BR25">
        <f>MAX($E2:BR2)</f>
        <v>197.5</v>
      </c>
      <c r="BS25">
        <f>MAX($E2:BS2)</f>
        <v>197.5</v>
      </c>
      <c r="BT25">
        <f>MAX($E2:BT2)</f>
        <v>198</v>
      </c>
      <c r="BU25">
        <f>MAX($E2:BU2)</f>
        <v>198</v>
      </c>
      <c r="BV25">
        <f>MAX($E2:BV2)</f>
        <v>198.5</v>
      </c>
      <c r="BW25">
        <f>MAX($E2:BW2)</f>
        <v>198.5</v>
      </c>
      <c r="BX25">
        <f>MAX($E2:BX2)</f>
        <v>199</v>
      </c>
      <c r="BY25">
        <f>MAX($E2:BY2)</f>
        <v>199</v>
      </c>
      <c r="BZ25">
        <f>MAX($E2:BZ2)</f>
        <v>199</v>
      </c>
      <c r="CA25">
        <f>MAX($E2:CA2)</f>
        <v>199.5</v>
      </c>
      <c r="CB25">
        <f>MAX($E2:CB2)</f>
        <v>199.5</v>
      </c>
      <c r="CC25">
        <f>MAX($E2:CC2)</f>
        <v>199.5</v>
      </c>
      <c r="CD25">
        <f>MAX($E2:CD2)</f>
        <v>199.5</v>
      </c>
      <c r="CE25">
        <f>MAX($E2:CE2)</f>
        <v>200</v>
      </c>
      <c r="CF25">
        <f>MAX($E2:CF2)</f>
        <v>200</v>
      </c>
      <c r="CG25">
        <f>MAX($E2:CG2)</f>
        <v>200</v>
      </c>
      <c r="CH25">
        <f>MAX($E2:CH2)</f>
        <v>200</v>
      </c>
      <c r="CI25">
        <f>MAX($E2:CI2)</f>
        <v>200</v>
      </c>
      <c r="CJ25">
        <f>MAX($E2:CJ2)</f>
        <v>200</v>
      </c>
      <c r="CK25">
        <f>MAX($E2:CK2)</f>
        <v>200</v>
      </c>
      <c r="CL25">
        <f>MAX($E2:CL2)</f>
        <v>200</v>
      </c>
      <c r="CM25">
        <f>MAX($E2:CM2)</f>
        <v>200</v>
      </c>
      <c r="CN25">
        <f>MAX($E2:CN2)</f>
        <v>202</v>
      </c>
      <c r="CO25">
        <f>MAX($E2:CO2)</f>
        <v>203</v>
      </c>
      <c r="CP25">
        <f>MAX($E2:CP2)</f>
        <v>203</v>
      </c>
      <c r="CQ25">
        <f>MAX($E2:CQ2)</f>
        <v>203</v>
      </c>
    </row>
    <row r="26" spans="1:95" x14ac:dyDescent="0.25">
      <c r="A26">
        <f>A3</f>
        <v>3.44809138775048</v>
      </c>
      <c r="B26">
        <f t="shared" ref="B26:C26" si="6">B3</f>
        <v>3.9928898270150555</v>
      </c>
      <c r="C26">
        <f t="shared" si="6"/>
        <v>0.29001551512020557</v>
      </c>
      <c r="E26">
        <f>MAX($E3:E3)</f>
        <v>0</v>
      </c>
      <c r="F26">
        <f>MAX($E3:F3)</f>
        <v>9.6914500000000001E-2</v>
      </c>
      <c r="G26">
        <f>MAX($E3:G3)</f>
        <v>9.6914500000000001E-2</v>
      </c>
      <c r="H26">
        <f>MAX($E3:H3)</f>
        <v>0.72158949999999999</v>
      </c>
      <c r="I26">
        <f>MAX($E3:I3)</f>
        <v>0.72212825000000003</v>
      </c>
      <c r="J26">
        <f>MAX($E3:J3)</f>
        <v>0.72212825000000003</v>
      </c>
      <c r="K26">
        <f>MAX($E3:K3)</f>
        <v>0.72212825000000003</v>
      </c>
      <c r="L26">
        <f>MAX($E3:L3)</f>
        <v>0.83152174999999995</v>
      </c>
      <c r="M26">
        <f>MAX($E3:M3)</f>
        <v>0.84141900000000003</v>
      </c>
      <c r="N26">
        <f>MAX($E3:N3)</f>
        <v>0.84141900000000003</v>
      </c>
      <c r="O26">
        <f>MAX($E3:O3)</f>
        <v>0.90917999999999999</v>
      </c>
      <c r="P26">
        <f>MAX($E3:P3)</f>
        <v>0.91796750000000005</v>
      </c>
      <c r="Q26">
        <f>MAX($E3:Q3)</f>
        <v>1.0343074999999999</v>
      </c>
      <c r="R26">
        <f>MAX($E3:R3)</f>
        <v>1.0343074999999999</v>
      </c>
      <c r="S26">
        <f>MAX($E3:S3)</f>
        <v>1.0343074999999999</v>
      </c>
      <c r="T26">
        <f>MAX($E3:T3)</f>
        <v>1.090365</v>
      </c>
      <c r="U26">
        <f>MAX($E3:U3)</f>
        <v>1.0936952499999999</v>
      </c>
      <c r="V26">
        <f>MAX($E3:V3)</f>
        <v>1.0936952499999999</v>
      </c>
      <c r="W26">
        <f>MAX($E3:W3)</f>
        <v>1.1353545</v>
      </c>
      <c r="X26">
        <f>MAX($E3:X3)</f>
        <v>1.1371785000000001</v>
      </c>
      <c r="Y26">
        <f>MAX($E3:Y3)</f>
        <v>1.1371785000000001</v>
      </c>
      <c r="Z26">
        <f>MAX($E3:Z3)</f>
        <v>1.1862410000000001</v>
      </c>
      <c r="AA26">
        <f>MAX($E3:AA3)</f>
        <v>1.1862410000000001</v>
      </c>
      <c r="AB26">
        <f>MAX($E3:AB3)</f>
        <v>1.1862410000000001</v>
      </c>
      <c r="AC26">
        <f>MAX($E3:AC3)</f>
        <v>1.1914450000000001</v>
      </c>
      <c r="AD26">
        <f>MAX($E3:AD3)</f>
        <v>1.26797</v>
      </c>
      <c r="AE26">
        <f>MAX($E3:AE3)</f>
        <v>1.2698725</v>
      </c>
      <c r="AF26">
        <f>MAX($E3:AF3)</f>
        <v>1.2698725</v>
      </c>
      <c r="AG26">
        <f>MAX($E3:AG3)</f>
        <v>1.3136675</v>
      </c>
      <c r="AH26">
        <f>MAX($E3:AH3)</f>
        <v>1.4161925</v>
      </c>
      <c r="AI26">
        <f>MAX($E3:AI3)</f>
        <v>1.4161925</v>
      </c>
      <c r="AJ26">
        <f>MAX($E3:AJ3)</f>
        <v>1.4778899999999999</v>
      </c>
      <c r="AK26">
        <f>MAX($E3:AK3)</f>
        <v>1.5733425000000001</v>
      </c>
      <c r="AL26">
        <f>MAX($E3:AL3)</f>
        <v>1.5733425000000001</v>
      </c>
      <c r="AM26">
        <f>MAX($E3:AM3)</f>
        <v>1.7892874999999999</v>
      </c>
      <c r="AN26">
        <f>MAX($E3:AN3)</f>
        <v>1.7892874999999999</v>
      </c>
      <c r="AO26">
        <f>MAX($E3:AO3)</f>
        <v>1.8152725000000001</v>
      </c>
      <c r="AP26">
        <f>MAX($E3:AP3)</f>
        <v>1.88581</v>
      </c>
      <c r="AQ26">
        <f>MAX($E3:AQ3)</f>
        <v>1.88605</v>
      </c>
      <c r="AR26">
        <f>MAX($E3:AR3)</f>
        <v>1.88605</v>
      </c>
      <c r="AS26">
        <f>MAX($E3:AS3)</f>
        <v>1.88605</v>
      </c>
      <c r="AT26">
        <f>MAX($E3:AT3)</f>
        <v>1.88605</v>
      </c>
      <c r="AU26">
        <f>MAX($E3:AU3)</f>
        <v>1.88605</v>
      </c>
      <c r="AV26">
        <f>MAX($E3:AV3)</f>
        <v>1.88605</v>
      </c>
      <c r="AW26">
        <f>MAX($E3:AW3)</f>
        <v>1.88605</v>
      </c>
      <c r="AX26">
        <f>MAX($E3:AX3)</f>
        <v>1.88605</v>
      </c>
      <c r="AY26">
        <f>MAX($E3:AY3)</f>
        <v>1.950245</v>
      </c>
      <c r="AZ26">
        <f>MAX($E3:AZ3)</f>
        <v>1.950245</v>
      </c>
      <c r="BA26">
        <f>MAX($E3:BA3)</f>
        <v>2.059415</v>
      </c>
      <c r="BB26">
        <f>MAX($E3:BB3)</f>
        <v>2.059415</v>
      </c>
      <c r="BC26">
        <f>MAX($E3:BC3)</f>
        <v>2.059415</v>
      </c>
      <c r="BD26">
        <f>MAX($E3:BD3)</f>
        <v>2.059415</v>
      </c>
      <c r="BE26">
        <f>MAX($E3:BE3)</f>
        <v>2.1547125</v>
      </c>
      <c r="BF26">
        <f>MAX($E3:BF3)</f>
        <v>2.1547125</v>
      </c>
      <c r="BG26">
        <f>MAX($E3:BG3)</f>
        <v>2.1547125</v>
      </c>
      <c r="BH26">
        <f>MAX($E3:BH3)</f>
        <v>2.1547125</v>
      </c>
      <c r="BI26">
        <f>MAX($E3:BI3)</f>
        <v>2.1547125</v>
      </c>
      <c r="BJ26">
        <f>MAX($E3:BJ3)</f>
        <v>2.1547125</v>
      </c>
      <c r="BK26">
        <f>MAX($E3:BK3)</f>
        <v>2.2048624999999999</v>
      </c>
      <c r="BL26">
        <f>MAX($E3:BL3)</f>
        <v>2.2048624999999999</v>
      </c>
      <c r="BM26">
        <f>MAX($E3:BM3)</f>
        <v>2.2048624999999999</v>
      </c>
      <c r="BN26">
        <f>MAX($E3:BN3)</f>
        <v>2.2048624999999999</v>
      </c>
      <c r="BO26">
        <f>MAX($E3:BO3)</f>
        <v>2.2850025</v>
      </c>
      <c r="BP26">
        <f>MAX($E3:BP3)</f>
        <v>2.2850025</v>
      </c>
      <c r="BQ26">
        <f>MAX($E3:BQ3)</f>
        <v>2.2850025</v>
      </c>
      <c r="BR26">
        <f>MAX($E3:BR3)</f>
        <v>2.3149899999999999</v>
      </c>
      <c r="BS26">
        <f>MAX($E3:BS3)</f>
        <v>2.3195049999999999</v>
      </c>
      <c r="BT26">
        <f>MAX($E3:BT3)</f>
        <v>2.3195049999999999</v>
      </c>
      <c r="BU26">
        <f>MAX($E3:BU3)</f>
        <v>2.4279275</v>
      </c>
      <c r="BV26">
        <f>MAX($E3:BV3)</f>
        <v>2.4279275</v>
      </c>
      <c r="BW26">
        <f>MAX($E3:BW3)</f>
        <v>2.4279275</v>
      </c>
      <c r="BX26">
        <f>MAX($E3:BX3)</f>
        <v>2.4279275</v>
      </c>
      <c r="BY26">
        <f>MAX($E3:BY3)</f>
        <v>2.4279275</v>
      </c>
      <c r="BZ26">
        <f>MAX($E3:BZ3)</f>
        <v>2.4295225</v>
      </c>
      <c r="CA26">
        <f>MAX($E3:CA3)</f>
        <v>2.4298600000000001</v>
      </c>
      <c r="CB26">
        <f>MAX($E3:CB3)</f>
        <v>2.4298600000000001</v>
      </c>
      <c r="CC26">
        <f>MAX($E3:CC3)</f>
        <v>2.4298600000000001</v>
      </c>
      <c r="CD26">
        <f>MAX($E3:CD3)</f>
        <v>2.4298600000000001</v>
      </c>
      <c r="CE26">
        <f>MAX($E3:CE3)</f>
        <v>2.4298600000000001</v>
      </c>
      <c r="CF26">
        <f>MAX($E3:CF3)</f>
        <v>2.4298600000000001</v>
      </c>
      <c r="CG26">
        <f>MAX($E3:CG3)</f>
        <v>2.4298600000000001</v>
      </c>
      <c r="CH26">
        <f>MAX($E3:CH3)</f>
        <v>2.4298600000000001</v>
      </c>
      <c r="CI26">
        <f>MAX($E3:CI3)</f>
        <v>2.4298600000000001</v>
      </c>
      <c r="CJ26">
        <f>MAX($E3:CJ3)</f>
        <v>2.4298600000000001</v>
      </c>
      <c r="CK26">
        <f>MAX($E3:CK3)</f>
        <v>2.4298600000000001</v>
      </c>
      <c r="CL26">
        <f>MAX($E3:CL3)</f>
        <v>2.4298600000000001</v>
      </c>
      <c r="CM26">
        <f>MAX($E3:CM3)</f>
        <v>2.4298600000000001</v>
      </c>
      <c r="CN26">
        <f>MAX($E3:CN3)</f>
        <v>2.4298600000000001</v>
      </c>
      <c r="CO26">
        <f>MAX($E3:CO3)</f>
        <v>2.5023599999999999</v>
      </c>
      <c r="CP26">
        <f>MAX($E3:CP3)</f>
        <v>2.5673149999999998</v>
      </c>
      <c r="CQ26">
        <f>MAX($E3:CQ3)</f>
        <v>2.5673149999999998</v>
      </c>
    </row>
    <row r="27" spans="1:95" x14ac:dyDescent="0.25">
      <c r="A27">
        <f t="shared" ref="A27:C27" si="7">A4</f>
        <v>3.3617356019128302</v>
      </c>
      <c r="B27">
        <f t="shared" si="7"/>
        <v>3.8928898270150571</v>
      </c>
      <c r="C27">
        <f t="shared" si="7"/>
        <v>0.29746539240950398</v>
      </c>
      <c r="E27">
        <f>MAX($E4:E4)</f>
        <v>0</v>
      </c>
      <c r="F27">
        <f>MAX($E4:F4)</f>
        <v>8.9095499999999994E-2</v>
      </c>
      <c r="G27">
        <f>MAX($E4:G4)</f>
        <v>8.9095499999999994E-2</v>
      </c>
      <c r="H27">
        <f>MAX($E4:H4)</f>
        <v>0.55506500000000003</v>
      </c>
      <c r="I27">
        <f>MAX($E4:I4)</f>
        <v>0.55506500000000003</v>
      </c>
      <c r="J27">
        <f>MAX($E4:J4)</f>
        <v>0.55506500000000003</v>
      </c>
      <c r="K27">
        <f>MAX($E4:K4)</f>
        <v>0.55506500000000003</v>
      </c>
      <c r="L27">
        <f>MAX($E4:L4)</f>
        <v>0.66732749999999996</v>
      </c>
      <c r="M27">
        <f>MAX($E4:M4)</f>
        <v>0.67476250000000004</v>
      </c>
      <c r="N27">
        <f>MAX($E4:N4)</f>
        <v>0.67476250000000004</v>
      </c>
      <c r="O27">
        <f>MAX($E4:O4)</f>
        <v>0.75530000000000097</v>
      </c>
      <c r="P27">
        <f>MAX($E4:P4)</f>
        <v>0.76360749999999999</v>
      </c>
      <c r="Q27">
        <f>MAX($E4:Q4)</f>
        <v>0.95738000000000001</v>
      </c>
      <c r="R27">
        <f>MAX($E4:R4)</f>
        <v>0.95738000000000001</v>
      </c>
      <c r="S27">
        <f>MAX($E4:S4)</f>
        <v>0.95738000000000001</v>
      </c>
      <c r="T27">
        <f>MAX($E4:T4)</f>
        <v>1.0017575000000001</v>
      </c>
      <c r="U27">
        <f>MAX($E4:U4)</f>
        <v>1.0038899999999999</v>
      </c>
      <c r="V27">
        <f>MAX($E4:V4)</f>
        <v>1.0038899999999999</v>
      </c>
      <c r="W27">
        <f>MAX($E4:W4)</f>
        <v>1.043695</v>
      </c>
      <c r="X27">
        <f>MAX($E4:X4)</f>
        <v>1.0459175000000001</v>
      </c>
      <c r="Y27">
        <f>MAX($E4:Y4)</f>
        <v>1.0459175000000001</v>
      </c>
      <c r="Z27">
        <f>MAX($E4:Z4)</f>
        <v>1.0876349999999999</v>
      </c>
      <c r="AA27">
        <f>MAX($E4:AA4)</f>
        <v>1.0876349999999999</v>
      </c>
      <c r="AB27">
        <f>MAX($E4:AB4)</f>
        <v>1.0876349999999999</v>
      </c>
      <c r="AC27">
        <f>MAX($E4:AC4)</f>
        <v>1.091715</v>
      </c>
      <c r="AD27">
        <f>MAX($E4:AD4)</f>
        <v>1.1657</v>
      </c>
      <c r="AE27">
        <f>MAX($E4:AE4)</f>
        <v>1.168285</v>
      </c>
      <c r="AF27">
        <f>MAX($E4:AF4)</f>
        <v>1.168285</v>
      </c>
      <c r="AG27">
        <f>MAX($E4:AG4)</f>
        <v>1.207535</v>
      </c>
      <c r="AH27">
        <f>MAX($E4:AH4)</f>
        <v>1.3017775</v>
      </c>
      <c r="AI27">
        <f>MAX($E4:AI4)</f>
        <v>1.3017775</v>
      </c>
      <c r="AJ27">
        <f>MAX($E4:AJ4)</f>
        <v>1.3609975000000001</v>
      </c>
      <c r="AK27">
        <f>MAX($E4:AK4)</f>
        <v>1.4396525</v>
      </c>
      <c r="AL27">
        <f>MAX($E4:AL4)</f>
        <v>1.4396525</v>
      </c>
      <c r="AM27">
        <f>MAX($E4:AM4)</f>
        <v>1.6396675000000001</v>
      </c>
      <c r="AN27">
        <f>MAX($E4:AN4)</f>
        <v>1.6396675000000001</v>
      </c>
      <c r="AO27">
        <f>MAX($E4:AO4)</f>
        <v>1.6620375000000001</v>
      </c>
      <c r="AP27">
        <f>MAX($E4:AP4)</f>
        <v>1.7305824999999999</v>
      </c>
      <c r="AQ27">
        <f>MAX($E4:AQ4)</f>
        <v>1.731865</v>
      </c>
      <c r="AR27">
        <f>MAX($E4:AR4)</f>
        <v>1.731865</v>
      </c>
      <c r="AS27">
        <f>MAX($E4:AS4)</f>
        <v>1.731865</v>
      </c>
      <c r="AT27">
        <f>MAX($E4:AT4)</f>
        <v>1.731865</v>
      </c>
      <c r="AU27">
        <f>MAX($E4:AU4)</f>
        <v>1.731865</v>
      </c>
      <c r="AV27">
        <f>MAX($E4:AV4)</f>
        <v>1.731865</v>
      </c>
      <c r="AW27">
        <f>MAX($E4:AW4)</f>
        <v>1.731865</v>
      </c>
      <c r="AX27">
        <f>MAX($E4:AX4)</f>
        <v>1.731865</v>
      </c>
      <c r="AY27">
        <f>MAX($E4:AY4)</f>
        <v>1.7904450000000001</v>
      </c>
      <c r="AZ27">
        <f>MAX($E4:AZ4)</f>
        <v>1.7904450000000001</v>
      </c>
      <c r="BA27">
        <f>MAX($E4:BA4)</f>
        <v>1.8912</v>
      </c>
      <c r="BB27">
        <f>MAX($E4:BB4)</f>
        <v>1.8912</v>
      </c>
      <c r="BC27">
        <f>MAX($E4:BC4)</f>
        <v>1.8912</v>
      </c>
      <c r="BD27">
        <f>MAX($E4:BD4)</f>
        <v>1.8912</v>
      </c>
      <c r="BE27">
        <f>MAX($E4:BE4)</f>
        <v>1.9782025000000001</v>
      </c>
      <c r="BF27">
        <f>MAX($E4:BF4)</f>
        <v>1.9782025000000001</v>
      </c>
      <c r="BG27">
        <f>MAX($E4:BG4)</f>
        <v>1.9782025000000001</v>
      </c>
      <c r="BH27">
        <f>MAX($E4:BH4)</f>
        <v>1.9782025000000001</v>
      </c>
      <c r="BI27">
        <f>MAX($E4:BI4)</f>
        <v>1.9782025000000001</v>
      </c>
      <c r="BJ27">
        <f>MAX($E4:BJ4)</f>
        <v>1.9782025000000001</v>
      </c>
      <c r="BK27">
        <f>MAX($E4:BK4)</f>
        <v>2.0255899999999998</v>
      </c>
      <c r="BL27">
        <f>MAX($E4:BL4)</f>
        <v>2.0255899999999998</v>
      </c>
      <c r="BM27">
        <f>MAX($E4:BM4)</f>
        <v>2.0255899999999998</v>
      </c>
      <c r="BN27">
        <f>MAX($E4:BN4)</f>
        <v>2.0255899999999998</v>
      </c>
      <c r="BO27">
        <f>MAX($E4:BO4)</f>
        <v>2.0956424999999999</v>
      </c>
      <c r="BP27">
        <f>MAX($E4:BP4)</f>
        <v>2.0956424999999999</v>
      </c>
      <c r="BQ27">
        <f>MAX($E4:BQ4)</f>
        <v>2.0956424999999999</v>
      </c>
      <c r="BR27">
        <f>MAX($E4:BR4)</f>
        <v>2.1245525000000001</v>
      </c>
      <c r="BS27">
        <f>MAX($E4:BS4)</f>
        <v>2.1290925000000001</v>
      </c>
      <c r="BT27">
        <f>MAX($E4:BT4)</f>
        <v>2.1290925000000001</v>
      </c>
      <c r="BU27">
        <f>MAX($E4:BU4)</f>
        <v>2.2206475000000001</v>
      </c>
      <c r="BV27">
        <f>MAX($E4:BV4)</f>
        <v>2.2206475000000001</v>
      </c>
      <c r="BW27">
        <f>MAX($E4:BW4)</f>
        <v>2.2206475000000001</v>
      </c>
      <c r="BX27">
        <f>MAX($E4:BX4)</f>
        <v>2.2206475000000001</v>
      </c>
      <c r="BY27">
        <f>MAX($E4:BY4)</f>
        <v>2.2206475000000001</v>
      </c>
      <c r="BZ27">
        <f>MAX($E4:BZ4)</f>
        <v>2.2254075000000002</v>
      </c>
      <c r="CA27">
        <f>MAX($E4:CA4)</f>
        <v>2.2274875000000001</v>
      </c>
      <c r="CB27">
        <f>MAX($E4:CB4)</f>
        <v>2.2274875000000001</v>
      </c>
      <c r="CC27">
        <f>MAX($E4:CC4)</f>
        <v>2.2274875000000001</v>
      </c>
      <c r="CD27">
        <f>MAX($E4:CD4)</f>
        <v>2.2274875000000001</v>
      </c>
      <c r="CE27">
        <f>MAX($E4:CE4)</f>
        <v>2.2274875000000001</v>
      </c>
      <c r="CF27">
        <f>MAX($E4:CF4)</f>
        <v>2.2274875000000001</v>
      </c>
      <c r="CG27">
        <f>MAX($E4:CG4)</f>
        <v>2.2274875000000001</v>
      </c>
      <c r="CH27">
        <f>MAX($E4:CH4)</f>
        <v>2.2274875000000001</v>
      </c>
      <c r="CI27">
        <f>MAX($E4:CI4)</f>
        <v>2.2274875000000001</v>
      </c>
      <c r="CJ27">
        <f>MAX($E4:CJ4)</f>
        <v>2.2274875000000001</v>
      </c>
      <c r="CK27">
        <f>MAX($E4:CK4)</f>
        <v>2.2274875000000001</v>
      </c>
      <c r="CL27">
        <f>MAX($E4:CL4)</f>
        <v>2.2274875000000001</v>
      </c>
      <c r="CM27">
        <f>MAX($E4:CM4)</f>
        <v>2.2274875000000001</v>
      </c>
      <c r="CN27">
        <f>MAX($E4:CN4)</f>
        <v>2.2274875000000001</v>
      </c>
      <c r="CO27">
        <f>MAX($E4:CO4)</f>
        <v>2.2970350000000002</v>
      </c>
      <c r="CP27">
        <f>MAX($E4:CP4)</f>
        <v>2.353135</v>
      </c>
      <c r="CQ27">
        <f>MAX($E4:CQ4)</f>
        <v>2.353135</v>
      </c>
    </row>
    <row r="28" spans="1:95" x14ac:dyDescent="0.25">
      <c r="A28">
        <f t="shared" ref="A28:C28" si="8">A5</f>
        <v>3.2753798160751799</v>
      </c>
      <c r="B28">
        <f t="shared" si="8"/>
        <v>3.7928898270150579</v>
      </c>
      <c r="C28">
        <f t="shared" si="8"/>
        <v>0.30530810353416643</v>
      </c>
      <c r="E28">
        <f>MAX($E5:E5)</f>
        <v>0</v>
      </c>
      <c r="F28">
        <f>MAX($E5:F5)</f>
        <v>8.1009249999999894E-2</v>
      </c>
      <c r="G28">
        <f>MAX($E5:G5)</f>
        <v>8.1009249999999894E-2</v>
      </c>
      <c r="H28">
        <f>MAX($E5:H5)</f>
        <v>0.46431</v>
      </c>
      <c r="I28">
        <f>MAX($E5:I5)</f>
        <v>0.46510499999999999</v>
      </c>
      <c r="J28">
        <f>MAX($E5:J5)</f>
        <v>0.46510499999999999</v>
      </c>
      <c r="K28">
        <f>MAX($E5:K5)</f>
        <v>0.46510499999999999</v>
      </c>
      <c r="L28">
        <f>MAX($E5:L5)</f>
        <v>0.5726</v>
      </c>
      <c r="M28">
        <f>MAX($E5:M5)</f>
        <v>0.58012249999999999</v>
      </c>
      <c r="N28">
        <f>MAX($E5:N5)</f>
        <v>0.58012249999999999</v>
      </c>
      <c r="O28">
        <f>MAX($E5:O5)</f>
        <v>0.66762999999999995</v>
      </c>
      <c r="P28">
        <f>MAX($E5:P5)</f>
        <v>0.67610000000000003</v>
      </c>
      <c r="Q28">
        <f>MAX($E5:Q5)</f>
        <v>0.89775249999999995</v>
      </c>
      <c r="R28">
        <f>MAX($E5:R5)</f>
        <v>0.89775249999999995</v>
      </c>
      <c r="S28">
        <f>MAX($E5:S5)</f>
        <v>0.89775249999999995</v>
      </c>
      <c r="T28">
        <f>MAX($E5:T5)</f>
        <v>0.94016250000000001</v>
      </c>
      <c r="U28">
        <f>MAX($E5:U5)</f>
        <v>0.94197500000000001</v>
      </c>
      <c r="V28">
        <f>MAX($E5:V5)</f>
        <v>0.94197500000000001</v>
      </c>
      <c r="W28">
        <f>MAX($E5:W5)</f>
        <v>0.97906249999999995</v>
      </c>
      <c r="X28">
        <f>MAX($E5:X5)</f>
        <v>0.980105</v>
      </c>
      <c r="Y28">
        <f>MAX($E5:Y5)</f>
        <v>0.980105</v>
      </c>
      <c r="Z28">
        <f>MAX($E5:Z5)</f>
        <v>1.0200549999999999</v>
      </c>
      <c r="AA28">
        <f>MAX($E5:AA5)</f>
        <v>1.0200549999999999</v>
      </c>
      <c r="AB28">
        <f>MAX($E5:AB5)</f>
        <v>1.0200549999999999</v>
      </c>
      <c r="AC28">
        <f>MAX($E5:AC5)</f>
        <v>1.0310925</v>
      </c>
      <c r="AD28">
        <f>MAX($E5:AD5)</f>
        <v>1.1055474999999999</v>
      </c>
      <c r="AE28">
        <f>MAX($E5:AE5)</f>
        <v>1.1055474999999999</v>
      </c>
      <c r="AF28">
        <f>MAX($E5:AF5)</f>
        <v>1.1055474999999999</v>
      </c>
      <c r="AG28">
        <f>MAX($E5:AG5)</f>
        <v>1.1486175000000001</v>
      </c>
      <c r="AH28">
        <f>MAX($E5:AH5)</f>
        <v>1.2291675</v>
      </c>
      <c r="AI28">
        <f>MAX($E5:AI5)</f>
        <v>1.2291675</v>
      </c>
      <c r="AJ28">
        <f>MAX($E5:AJ5)</f>
        <v>1.2927850000000001</v>
      </c>
      <c r="AK28">
        <f>MAX($E5:AK5)</f>
        <v>1.36056</v>
      </c>
      <c r="AL28">
        <f>MAX($E5:AL5)</f>
        <v>1.36056</v>
      </c>
      <c r="AM28">
        <f>MAX($E5:AM5)</f>
        <v>1.5509225</v>
      </c>
      <c r="AN28">
        <f>MAX($E5:AN5)</f>
        <v>1.5509225</v>
      </c>
      <c r="AO28">
        <f>MAX($E5:AO5)</f>
        <v>1.5724199999999999</v>
      </c>
      <c r="AP28">
        <f>MAX($E5:AP5)</f>
        <v>1.6476225</v>
      </c>
      <c r="AQ28">
        <f>MAX($E5:AQ5)</f>
        <v>1.6476225</v>
      </c>
      <c r="AR28">
        <f>MAX($E5:AR5)</f>
        <v>1.6476225</v>
      </c>
      <c r="AS28">
        <f>MAX($E5:AS5)</f>
        <v>1.6476225</v>
      </c>
      <c r="AT28">
        <f>MAX($E5:AT5)</f>
        <v>1.6476225</v>
      </c>
      <c r="AU28">
        <f>MAX($E5:AU5)</f>
        <v>1.6476225</v>
      </c>
      <c r="AV28">
        <f>MAX($E5:AV5)</f>
        <v>1.6476225</v>
      </c>
      <c r="AW28">
        <f>MAX($E5:AW5)</f>
        <v>1.6476225</v>
      </c>
      <c r="AX28">
        <f>MAX($E5:AX5)</f>
        <v>1.649905</v>
      </c>
      <c r="AY28">
        <f>MAX($E5:AY5)</f>
        <v>1.706955</v>
      </c>
      <c r="AZ28">
        <f>MAX($E5:AZ5)</f>
        <v>1.706955</v>
      </c>
      <c r="BA28">
        <f>MAX($E5:BA5)</f>
        <v>1.80609</v>
      </c>
      <c r="BB28">
        <f>MAX($E5:BB5)</f>
        <v>1.80609</v>
      </c>
      <c r="BC28">
        <f>MAX($E5:BC5)</f>
        <v>1.80609</v>
      </c>
      <c r="BD28">
        <f>MAX($E5:BD5)</f>
        <v>1.80609</v>
      </c>
      <c r="BE28">
        <f>MAX($E5:BE5)</f>
        <v>1.8913800000000001</v>
      </c>
      <c r="BF28">
        <f>MAX($E5:BF5)</f>
        <v>1.8913800000000001</v>
      </c>
      <c r="BG28">
        <f>MAX($E5:BG5)</f>
        <v>1.8913800000000001</v>
      </c>
      <c r="BH28">
        <f>MAX($E5:BH5)</f>
        <v>1.8913800000000001</v>
      </c>
      <c r="BI28">
        <f>MAX($E5:BI5)</f>
        <v>1.8913800000000001</v>
      </c>
      <c r="BJ28">
        <f>MAX($E5:BJ5)</f>
        <v>1.8913800000000001</v>
      </c>
      <c r="BK28">
        <f>MAX($E5:BK5)</f>
        <v>1.9376899999999999</v>
      </c>
      <c r="BL28">
        <f>MAX($E5:BL5)</f>
        <v>1.9376899999999999</v>
      </c>
      <c r="BM28">
        <f>MAX($E5:BM5)</f>
        <v>1.9376899999999999</v>
      </c>
      <c r="BN28">
        <f>MAX($E5:BN5)</f>
        <v>1.9376899999999999</v>
      </c>
      <c r="BO28">
        <f>MAX($E5:BO5)</f>
        <v>2.0097849999999999</v>
      </c>
      <c r="BP28">
        <f>MAX($E5:BP5)</f>
        <v>2.0097849999999999</v>
      </c>
      <c r="BQ28">
        <f>MAX($E5:BQ5)</f>
        <v>2.0097849999999999</v>
      </c>
      <c r="BR28">
        <f>MAX($E5:BR5)</f>
        <v>2.0391750000000002</v>
      </c>
      <c r="BS28">
        <f>MAX($E5:BS5)</f>
        <v>2.0424349999999998</v>
      </c>
      <c r="BT28">
        <f>MAX($E5:BT5)</f>
        <v>2.0424349999999998</v>
      </c>
      <c r="BU28">
        <f>MAX($E5:BU5)</f>
        <v>2.1256925</v>
      </c>
      <c r="BV28">
        <f>MAX($E5:BV5)</f>
        <v>2.1256925</v>
      </c>
      <c r="BW28">
        <f>MAX($E5:BW5)</f>
        <v>2.1256925</v>
      </c>
      <c r="BX28">
        <f>MAX($E5:BX5)</f>
        <v>2.1256925</v>
      </c>
      <c r="BY28">
        <f>MAX($E5:BY5)</f>
        <v>2.1256925</v>
      </c>
      <c r="BZ28">
        <f>MAX($E5:BZ5)</f>
        <v>2.132755</v>
      </c>
      <c r="CA28">
        <f>MAX($E5:CA5)</f>
        <v>2.1331774999999999</v>
      </c>
      <c r="CB28">
        <f>MAX($E5:CB5)</f>
        <v>2.1331774999999999</v>
      </c>
      <c r="CC28">
        <f>MAX($E5:CC5)</f>
        <v>2.1331774999999999</v>
      </c>
      <c r="CD28">
        <f>MAX($E5:CD5)</f>
        <v>2.1331774999999999</v>
      </c>
      <c r="CE28">
        <f>MAX($E5:CE5)</f>
        <v>2.1331774999999999</v>
      </c>
      <c r="CF28">
        <f>MAX($E5:CF5)</f>
        <v>2.1331774999999999</v>
      </c>
      <c r="CG28">
        <f>MAX($E5:CG5)</f>
        <v>2.1331774999999999</v>
      </c>
      <c r="CH28">
        <f>MAX($E5:CH5)</f>
        <v>2.1331774999999999</v>
      </c>
      <c r="CI28">
        <f>MAX($E5:CI5)</f>
        <v>2.1331774999999999</v>
      </c>
      <c r="CJ28">
        <f>MAX($E5:CJ5)</f>
        <v>2.1331774999999999</v>
      </c>
      <c r="CK28">
        <f>MAX($E5:CK5)</f>
        <v>2.1331774999999999</v>
      </c>
      <c r="CL28">
        <f>MAX($E5:CL5)</f>
        <v>2.1331774999999999</v>
      </c>
      <c r="CM28">
        <f>MAX($E5:CM5)</f>
        <v>2.1331774999999999</v>
      </c>
      <c r="CN28">
        <f>MAX($E5:CN5)</f>
        <v>2.1331774999999999</v>
      </c>
      <c r="CO28">
        <f>MAX($E5:CO5)</f>
        <v>2.2102599999999999</v>
      </c>
      <c r="CP28">
        <f>MAX($E5:CP5)</f>
        <v>2.2651949999999998</v>
      </c>
      <c r="CQ28">
        <f>MAX($E5:CQ5)</f>
        <v>2.2651949999999998</v>
      </c>
    </row>
    <row r="29" spans="1:95" x14ac:dyDescent="0.25">
      <c r="A29">
        <f t="shared" ref="A29:C29" si="9">A6</f>
        <v>3.1890240302375199</v>
      </c>
      <c r="B29">
        <f t="shared" si="9"/>
        <v>3.6928898270150476</v>
      </c>
      <c r="C29">
        <f t="shared" si="9"/>
        <v>0.31357556121191082</v>
      </c>
      <c r="E29">
        <f>MAX($E6:E6)</f>
        <v>0</v>
      </c>
      <c r="F29">
        <f>MAX($E6:F6)</f>
        <v>6.9070000000000006E-2</v>
      </c>
      <c r="G29">
        <f>MAX($E6:G6)</f>
        <v>6.9070000000000006E-2</v>
      </c>
      <c r="H29">
        <f>MAX($E6:H6)</f>
        <v>0.3462075</v>
      </c>
      <c r="I29">
        <f>MAX($E6:I6)</f>
        <v>0.3462075</v>
      </c>
      <c r="J29">
        <f>MAX($E6:J6)</f>
        <v>0.3462075</v>
      </c>
      <c r="K29">
        <f>MAX($E6:K6)</f>
        <v>0.3462075</v>
      </c>
      <c r="L29">
        <f>MAX($E6:L6)</f>
        <v>0.43660500000000002</v>
      </c>
      <c r="M29">
        <f>MAX($E6:M6)</f>
        <v>0.44722499999999998</v>
      </c>
      <c r="N29">
        <f>MAX($E6:N6)</f>
        <v>0.44722499999999998</v>
      </c>
      <c r="O29">
        <f>MAX($E6:O6)</f>
        <v>0.52690499999999996</v>
      </c>
      <c r="P29">
        <f>MAX($E6:P6)</f>
        <v>0.53528750000000003</v>
      </c>
      <c r="Q29">
        <f>MAX($E6:Q6)</f>
        <v>0.83804999999999996</v>
      </c>
      <c r="R29">
        <f>MAX($E6:R6)</f>
        <v>0.83804999999999996</v>
      </c>
      <c r="S29">
        <f>MAX($E6:S6)</f>
        <v>0.83804999999999996</v>
      </c>
      <c r="T29">
        <f>MAX($E6:T6)</f>
        <v>0.96567749999999997</v>
      </c>
      <c r="U29">
        <f>MAX($E6:U6)</f>
        <v>0.97377250000000004</v>
      </c>
      <c r="V29">
        <f>MAX($E6:V6)</f>
        <v>0.97511749999999997</v>
      </c>
      <c r="W29">
        <f>MAX($E6:W6)</f>
        <v>1.0320549999999999</v>
      </c>
      <c r="X29">
        <f>MAX($E6:X6)</f>
        <v>1.0320549999999999</v>
      </c>
      <c r="Y29">
        <f>MAX($E6:Y6)</f>
        <v>1.0320549999999999</v>
      </c>
      <c r="Z29">
        <f>MAX($E6:Z6)</f>
        <v>1.0794049999999999</v>
      </c>
      <c r="AA29">
        <f>MAX($E6:AA6)</f>
        <v>1.0794049999999999</v>
      </c>
      <c r="AB29">
        <f>MAX($E6:AB6)</f>
        <v>1.0794049999999999</v>
      </c>
      <c r="AC29">
        <f>MAX($E6:AC6)</f>
        <v>1.1055075000000001</v>
      </c>
      <c r="AD29">
        <f>MAX($E6:AD6)</f>
        <v>1.1783950000000001</v>
      </c>
      <c r="AE29">
        <f>MAX($E6:AE6)</f>
        <v>1.1783950000000001</v>
      </c>
      <c r="AF29">
        <f>MAX($E6:AF6)</f>
        <v>1.1783950000000001</v>
      </c>
      <c r="AG29">
        <f>MAX($E6:AG6)</f>
        <v>1.2197249999999999</v>
      </c>
      <c r="AH29">
        <f>MAX($E6:AH6)</f>
        <v>1.2953399999999999</v>
      </c>
      <c r="AI29">
        <f>MAX($E6:AI6)</f>
        <v>1.2953399999999999</v>
      </c>
      <c r="AJ29">
        <f>MAX($E6:AJ6)</f>
        <v>1.3489275000000001</v>
      </c>
      <c r="AK29">
        <f>MAX($E6:AK6)</f>
        <v>1.41012</v>
      </c>
      <c r="AL29">
        <f>MAX($E6:AL6)</f>
        <v>1.4130374999999999</v>
      </c>
      <c r="AM29">
        <f>MAX($E6:AM6)</f>
        <v>1.5945974999999999</v>
      </c>
      <c r="AN29">
        <f>MAX($E6:AN6)</f>
        <v>1.5945974999999999</v>
      </c>
      <c r="AO29">
        <f>MAX($E6:AO6)</f>
        <v>1.6129724999999999</v>
      </c>
      <c r="AP29">
        <f>MAX($E6:AP6)</f>
        <v>1.6830025</v>
      </c>
      <c r="AQ29">
        <f>MAX($E6:AQ6)</f>
        <v>1.6845000000000001</v>
      </c>
      <c r="AR29">
        <f>MAX($E6:AR6)</f>
        <v>1.6845000000000001</v>
      </c>
      <c r="AS29">
        <f>MAX($E6:AS6)</f>
        <v>1.6845000000000001</v>
      </c>
      <c r="AT29">
        <f>MAX($E6:AT6)</f>
        <v>1.6845000000000001</v>
      </c>
      <c r="AU29">
        <f>MAX($E6:AU6)</f>
        <v>1.6845000000000001</v>
      </c>
      <c r="AV29">
        <f>MAX($E6:AV6)</f>
        <v>1.6845000000000001</v>
      </c>
      <c r="AW29">
        <f>MAX($E6:AW6)</f>
        <v>1.6845000000000001</v>
      </c>
      <c r="AX29">
        <f>MAX($E6:AX6)</f>
        <v>1.6886924999999999</v>
      </c>
      <c r="AY29">
        <f>MAX($E6:AY6)</f>
        <v>1.745485</v>
      </c>
      <c r="AZ29">
        <f>MAX($E6:AZ6)</f>
        <v>1.745485</v>
      </c>
      <c r="BA29">
        <f>MAX($E6:BA6)</f>
        <v>1.8373299999999999</v>
      </c>
      <c r="BB29">
        <f>MAX($E6:BB6)</f>
        <v>1.8373299999999999</v>
      </c>
      <c r="BC29">
        <f>MAX($E6:BC6)</f>
        <v>1.8373299999999999</v>
      </c>
      <c r="BD29">
        <f>MAX($E6:BD6)</f>
        <v>1.8373299999999999</v>
      </c>
      <c r="BE29">
        <f>MAX($E6:BE6)</f>
        <v>1.9128075</v>
      </c>
      <c r="BF29">
        <f>MAX($E6:BF6)</f>
        <v>1.9128075</v>
      </c>
      <c r="BG29">
        <f>MAX($E6:BG6)</f>
        <v>1.9128075</v>
      </c>
      <c r="BH29">
        <f>MAX($E6:BH6)</f>
        <v>1.9128075</v>
      </c>
      <c r="BI29">
        <f>MAX($E6:BI6)</f>
        <v>1.9128075</v>
      </c>
      <c r="BJ29">
        <f>MAX($E6:BJ6)</f>
        <v>1.9128075</v>
      </c>
      <c r="BK29">
        <f>MAX($E6:BK6)</f>
        <v>1.949495</v>
      </c>
      <c r="BL29">
        <f>MAX($E6:BL6)</f>
        <v>1.949495</v>
      </c>
      <c r="BM29">
        <f>MAX($E6:BM6)</f>
        <v>1.949495</v>
      </c>
      <c r="BN29">
        <f>MAX($E6:BN6)</f>
        <v>1.949495</v>
      </c>
      <c r="BO29">
        <f>MAX($E6:BO6)</f>
        <v>2.0063149999999998</v>
      </c>
      <c r="BP29">
        <f>MAX($E6:BP6)</f>
        <v>2.0063149999999998</v>
      </c>
      <c r="BQ29">
        <f>MAX($E6:BQ6)</f>
        <v>2.0063149999999998</v>
      </c>
      <c r="BR29">
        <f>MAX($E6:BR6)</f>
        <v>2.0351925</v>
      </c>
      <c r="BS29">
        <f>MAX($E6:BS6)</f>
        <v>2.0360874999999998</v>
      </c>
      <c r="BT29">
        <f>MAX($E6:BT6)</f>
        <v>2.0360874999999998</v>
      </c>
      <c r="BU29">
        <f>MAX($E6:BU6)</f>
        <v>2.1145649999999998</v>
      </c>
      <c r="BV29">
        <f>MAX($E6:BV6)</f>
        <v>2.1145649999999998</v>
      </c>
      <c r="BW29">
        <f>MAX($E6:BW6)</f>
        <v>2.1145649999999998</v>
      </c>
      <c r="BX29">
        <f>MAX($E6:BX6)</f>
        <v>2.1145649999999998</v>
      </c>
      <c r="BY29">
        <f>MAX($E6:BY6)</f>
        <v>2.1145649999999998</v>
      </c>
      <c r="BZ29">
        <f>MAX($E6:BZ6)</f>
        <v>2.1243474999999998</v>
      </c>
      <c r="CA29">
        <f>MAX($E6:CA6)</f>
        <v>2.1252599999999999</v>
      </c>
      <c r="CB29">
        <f>MAX($E6:CB6)</f>
        <v>2.1252599999999999</v>
      </c>
      <c r="CC29">
        <f>MAX($E6:CC6)</f>
        <v>2.1252599999999999</v>
      </c>
      <c r="CD29">
        <f>MAX($E6:CD6)</f>
        <v>2.1252599999999999</v>
      </c>
      <c r="CE29">
        <f>MAX($E6:CE6)</f>
        <v>2.1252599999999999</v>
      </c>
      <c r="CF29">
        <f>MAX($E6:CF6)</f>
        <v>2.1252599999999999</v>
      </c>
      <c r="CG29">
        <f>MAX($E6:CG6)</f>
        <v>2.1252599999999999</v>
      </c>
      <c r="CH29">
        <f>MAX($E6:CH6)</f>
        <v>2.1252599999999999</v>
      </c>
      <c r="CI29">
        <f>MAX($E6:CI6)</f>
        <v>2.1252599999999999</v>
      </c>
      <c r="CJ29">
        <f>MAX($E6:CJ6)</f>
        <v>2.1252599999999999</v>
      </c>
      <c r="CK29">
        <f>MAX($E6:CK6)</f>
        <v>2.1252599999999999</v>
      </c>
      <c r="CL29">
        <f>MAX($E6:CL6)</f>
        <v>2.1252599999999999</v>
      </c>
      <c r="CM29">
        <f>MAX($E6:CM6)</f>
        <v>2.1252599999999999</v>
      </c>
      <c r="CN29">
        <f>MAX($E6:CN6)</f>
        <v>2.1252599999999999</v>
      </c>
      <c r="CO29">
        <f>MAX($E6:CO6)</f>
        <v>2.1992924999999999</v>
      </c>
      <c r="CP29">
        <f>MAX($E6:CP6)</f>
        <v>2.2485024999999998</v>
      </c>
      <c r="CQ29">
        <f>MAX($E6:CQ6)</f>
        <v>2.2485024999999998</v>
      </c>
    </row>
    <row r="30" spans="1:95" x14ac:dyDescent="0.25">
      <c r="A30">
        <f t="shared" ref="A30:C30" si="10">A7</f>
        <v>3.1026682443998701</v>
      </c>
      <c r="B30">
        <f t="shared" si="10"/>
        <v>3.5928898270150493</v>
      </c>
      <c r="C30">
        <f t="shared" si="10"/>
        <v>0.32230323103507441</v>
      </c>
      <c r="E30">
        <f>MAX($E7:E7)</f>
        <v>0</v>
      </c>
      <c r="F30">
        <f>MAX($E7:F7)</f>
        <v>6.1558500000000002E-2</v>
      </c>
      <c r="G30">
        <f>MAX($E7:G7)</f>
        <v>6.1558500000000002E-2</v>
      </c>
      <c r="H30">
        <f>MAX($E7:H7)</f>
        <v>0.23067750000000001</v>
      </c>
      <c r="I30">
        <f>MAX($E7:I7)</f>
        <v>0.23067750000000001</v>
      </c>
      <c r="J30">
        <f>MAX($E7:J7)</f>
        <v>0.23067750000000001</v>
      </c>
      <c r="K30">
        <f>MAX($E7:K7)</f>
        <v>0.23067750000000001</v>
      </c>
      <c r="L30">
        <f>MAX($E7:L7)</f>
        <v>0.30978</v>
      </c>
      <c r="M30">
        <f>MAX($E7:M7)</f>
        <v>0.31741000000000003</v>
      </c>
      <c r="N30">
        <f>MAX($E7:N7)</f>
        <v>0.31741000000000003</v>
      </c>
      <c r="O30">
        <f>MAX($E7:O7)</f>
        <v>0.3975225</v>
      </c>
      <c r="P30">
        <f>MAX($E7:P7)</f>
        <v>0.40298499999999998</v>
      </c>
      <c r="Q30">
        <f>MAX($E7:Q7)</f>
        <v>0.68362999999999996</v>
      </c>
      <c r="R30">
        <f>MAX($E7:R7)</f>
        <v>0.68362999999999996</v>
      </c>
      <c r="S30">
        <f>MAX($E7:S7)</f>
        <v>0.68362999999999996</v>
      </c>
      <c r="T30">
        <f>MAX($E7:T7)</f>
        <v>0.83601749999999997</v>
      </c>
      <c r="U30">
        <f>MAX($E7:U7)</f>
        <v>0.84754499999999999</v>
      </c>
      <c r="V30">
        <f>MAX($E7:V7)</f>
        <v>0.85047499999999998</v>
      </c>
      <c r="W30">
        <f>MAX($E7:W7)</f>
        <v>0.94574250000000004</v>
      </c>
      <c r="X30">
        <f>MAX($E7:X7)</f>
        <v>0.94574250000000004</v>
      </c>
      <c r="Y30">
        <f>MAX($E7:Y7)</f>
        <v>0.94574250000000004</v>
      </c>
      <c r="Z30">
        <f>MAX($E7:Z7)</f>
        <v>1.0008224999999999</v>
      </c>
      <c r="AA30">
        <f>MAX($E7:AA7)</f>
        <v>1.0008224999999999</v>
      </c>
      <c r="AB30">
        <f>MAX($E7:AB7)</f>
        <v>1.0008224999999999</v>
      </c>
      <c r="AC30">
        <f>MAX($E7:AC7)</f>
        <v>1.03237</v>
      </c>
      <c r="AD30">
        <f>MAX($E7:AD7)</f>
        <v>1.1007975000000001</v>
      </c>
      <c r="AE30">
        <f>MAX($E7:AE7)</f>
        <v>1.1007975000000001</v>
      </c>
      <c r="AF30">
        <f>MAX($E7:AF7)</f>
        <v>1.1007975000000001</v>
      </c>
      <c r="AG30">
        <f>MAX($E7:AG7)</f>
        <v>1.139265</v>
      </c>
      <c r="AH30">
        <f>MAX($E7:AH7)</f>
        <v>1.2100525</v>
      </c>
      <c r="AI30">
        <f>MAX($E7:AI7)</f>
        <v>1.2100525</v>
      </c>
      <c r="AJ30">
        <f>MAX($E7:AJ7)</f>
        <v>1.2453075</v>
      </c>
      <c r="AK30">
        <f>MAX($E7:AK7)</f>
        <v>1.3058650000000001</v>
      </c>
      <c r="AL30">
        <f>MAX($E7:AL7)</f>
        <v>1.3099624999999999</v>
      </c>
      <c r="AM30">
        <f>MAX($E7:AM7)</f>
        <v>1.473805</v>
      </c>
      <c r="AN30">
        <f>MAX($E7:AN7)</f>
        <v>1.473805</v>
      </c>
      <c r="AO30">
        <f>MAX($E7:AO7)</f>
        <v>1.4923575</v>
      </c>
      <c r="AP30">
        <f>MAX($E7:AP7)</f>
        <v>1.5555600000000001</v>
      </c>
      <c r="AQ30">
        <f>MAX($E7:AQ7)</f>
        <v>1.5555600000000001</v>
      </c>
      <c r="AR30">
        <f>MAX($E7:AR7)</f>
        <v>1.5555600000000001</v>
      </c>
      <c r="AS30">
        <f>MAX($E7:AS7)</f>
        <v>1.5555600000000001</v>
      </c>
      <c r="AT30">
        <f>MAX($E7:AT7)</f>
        <v>1.5555600000000001</v>
      </c>
      <c r="AU30">
        <f>MAX($E7:AU7)</f>
        <v>1.5555600000000001</v>
      </c>
      <c r="AV30">
        <f>MAX($E7:AV7)</f>
        <v>1.5555600000000001</v>
      </c>
      <c r="AW30">
        <f>MAX($E7:AW7)</f>
        <v>1.5555600000000001</v>
      </c>
      <c r="AX30">
        <f>MAX($E7:AX7)</f>
        <v>1.561755</v>
      </c>
      <c r="AY30">
        <f>MAX($E7:AY7)</f>
        <v>1.6121224999999999</v>
      </c>
      <c r="AZ30">
        <f>MAX($E7:AZ7)</f>
        <v>1.6121224999999999</v>
      </c>
      <c r="BA30">
        <f>MAX($E7:BA7)</f>
        <v>1.70069</v>
      </c>
      <c r="BB30">
        <f>MAX($E7:BB7)</f>
        <v>1.70069</v>
      </c>
      <c r="BC30">
        <f>MAX($E7:BC7)</f>
        <v>1.70069</v>
      </c>
      <c r="BD30">
        <f>MAX($E7:BD7)</f>
        <v>1.70069</v>
      </c>
      <c r="BE30">
        <f>MAX($E7:BE7)</f>
        <v>1.7687250000000001</v>
      </c>
      <c r="BF30">
        <f>MAX($E7:BF7)</f>
        <v>1.7687250000000001</v>
      </c>
      <c r="BG30">
        <f>MAX($E7:BG7)</f>
        <v>1.7687250000000001</v>
      </c>
      <c r="BH30">
        <f>MAX($E7:BH7)</f>
        <v>1.7687250000000001</v>
      </c>
      <c r="BI30">
        <f>MAX($E7:BI7)</f>
        <v>1.7687250000000001</v>
      </c>
      <c r="BJ30">
        <f>MAX($E7:BJ7)</f>
        <v>1.7687250000000001</v>
      </c>
      <c r="BK30">
        <f>MAX($E7:BK7)</f>
        <v>1.8019525000000001</v>
      </c>
      <c r="BL30">
        <f>MAX($E7:BL7)</f>
        <v>1.8019525000000001</v>
      </c>
      <c r="BM30">
        <f>MAX($E7:BM7)</f>
        <v>1.8019525000000001</v>
      </c>
      <c r="BN30">
        <f>MAX($E7:BN7)</f>
        <v>1.8019525000000001</v>
      </c>
      <c r="BO30">
        <f>MAX($E7:BO7)</f>
        <v>1.8471474999999999</v>
      </c>
      <c r="BP30">
        <f>MAX($E7:BP7)</f>
        <v>1.8471474999999999</v>
      </c>
      <c r="BQ30">
        <f>MAX($E7:BQ7)</f>
        <v>1.8471474999999999</v>
      </c>
      <c r="BR30">
        <f>MAX($E7:BR7)</f>
        <v>1.87334</v>
      </c>
      <c r="BS30">
        <f>MAX($E7:BS7)</f>
        <v>1.8735575</v>
      </c>
      <c r="BT30">
        <f>MAX($E7:BT7)</f>
        <v>1.8735575</v>
      </c>
      <c r="BU30">
        <f>MAX($E7:BU7)</f>
        <v>1.9483600000000001</v>
      </c>
      <c r="BV30">
        <f>MAX($E7:BV7)</f>
        <v>1.9483600000000001</v>
      </c>
      <c r="BW30">
        <f>MAX($E7:BW7)</f>
        <v>1.9483600000000001</v>
      </c>
      <c r="BX30">
        <f>MAX($E7:BX7)</f>
        <v>1.9483600000000001</v>
      </c>
      <c r="BY30">
        <f>MAX($E7:BY7)</f>
        <v>1.9483600000000001</v>
      </c>
      <c r="BZ30">
        <f>MAX($E7:BZ7)</f>
        <v>1.9608525000000001</v>
      </c>
      <c r="CA30">
        <f>MAX($E7:CA7)</f>
        <v>1.9637925000000001</v>
      </c>
      <c r="CB30">
        <f>MAX($E7:CB7)</f>
        <v>1.9637925000000001</v>
      </c>
      <c r="CC30">
        <f>MAX($E7:CC7)</f>
        <v>1.9637925000000001</v>
      </c>
      <c r="CD30">
        <f>MAX($E7:CD7)</f>
        <v>1.9637925000000001</v>
      </c>
      <c r="CE30">
        <f>MAX($E7:CE7)</f>
        <v>1.9637925000000001</v>
      </c>
      <c r="CF30">
        <f>MAX($E7:CF7)</f>
        <v>1.9637925000000001</v>
      </c>
      <c r="CG30">
        <f>MAX($E7:CG7)</f>
        <v>1.9637925000000001</v>
      </c>
      <c r="CH30">
        <f>MAX($E7:CH7)</f>
        <v>1.9637925000000001</v>
      </c>
      <c r="CI30">
        <f>MAX($E7:CI7)</f>
        <v>1.9637925000000001</v>
      </c>
      <c r="CJ30">
        <f>MAX($E7:CJ7)</f>
        <v>1.9637925000000001</v>
      </c>
      <c r="CK30">
        <f>MAX($E7:CK7)</f>
        <v>1.9637925000000001</v>
      </c>
      <c r="CL30">
        <f>MAX($E7:CL7)</f>
        <v>1.9637925000000001</v>
      </c>
      <c r="CM30">
        <f>MAX($E7:CM7)</f>
        <v>1.9637925000000001</v>
      </c>
      <c r="CN30">
        <f>MAX($E7:CN7)</f>
        <v>1.9637925000000001</v>
      </c>
      <c r="CO30">
        <f>MAX($E7:CO7)</f>
        <v>2.0328550000000001</v>
      </c>
      <c r="CP30">
        <f>MAX($E7:CP7)</f>
        <v>2.0769875</v>
      </c>
      <c r="CQ30">
        <f>MAX($E7:CQ7)</f>
        <v>2.0769875</v>
      </c>
    </row>
    <row r="31" spans="1:95" x14ac:dyDescent="0.25">
      <c r="A31">
        <f t="shared" ref="A31:C31" si="11">A8</f>
        <v>3.0163124585622199</v>
      </c>
      <c r="B31">
        <f t="shared" si="11"/>
        <v>3.4928898270150501</v>
      </c>
      <c r="C31">
        <f t="shared" si="11"/>
        <v>0.33153064005731958</v>
      </c>
      <c r="E31">
        <f>MAX($E8:E8)</f>
        <v>0</v>
      </c>
      <c r="F31">
        <f>MAX($E8:F8)</f>
        <v>5.8568500000000003E-2</v>
      </c>
      <c r="G31">
        <f>MAX($E8:G8)</f>
        <v>5.9716749999999999E-2</v>
      </c>
      <c r="H31">
        <f>MAX($E8:H8)</f>
        <v>0.108795</v>
      </c>
      <c r="I31">
        <f>MAX($E8:I8)</f>
        <v>0.108795</v>
      </c>
      <c r="J31">
        <f>MAX($E8:J8)</f>
        <v>0.108795</v>
      </c>
      <c r="K31">
        <f>MAX($E8:K8)</f>
        <v>0.108795</v>
      </c>
      <c r="L31">
        <f>MAX($E8:L8)</f>
        <v>0.15446750000000001</v>
      </c>
      <c r="M31">
        <f>MAX($E8:M8)</f>
        <v>0.16109499999999999</v>
      </c>
      <c r="N31">
        <f>MAX($E8:N8)</f>
        <v>0.16109499999999999</v>
      </c>
      <c r="O31">
        <f>MAX($E8:O8)</f>
        <v>0.2347475</v>
      </c>
      <c r="P31">
        <f>MAX($E8:P8)</f>
        <v>0.24029249999999999</v>
      </c>
      <c r="Q31">
        <f>MAX($E8:Q8)</f>
        <v>0.51121000000000005</v>
      </c>
      <c r="R31">
        <f>MAX($E8:R8)</f>
        <v>0.51121000000000005</v>
      </c>
      <c r="S31">
        <f>MAX($E8:S8)</f>
        <v>0.51121000000000005</v>
      </c>
      <c r="T31">
        <f>MAX($E8:T8)</f>
        <v>0.75419000000000003</v>
      </c>
      <c r="U31">
        <f>MAX($E8:U8)</f>
        <v>0.77758000000000005</v>
      </c>
      <c r="V31">
        <f>MAX($E8:V8)</f>
        <v>0.78666999999999998</v>
      </c>
      <c r="W31">
        <f>MAX($E8:W8)</f>
        <v>0.90761499999999995</v>
      </c>
      <c r="X31">
        <f>MAX($E8:X8)</f>
        <v>0.90761499999999995</v>
      </c>
      <c r="Y31">
        <f>MAX($E8:Y8)</f>
        <v>0.90761499999999995</v>
      </c>
      <c r="Z31">
        <f>MAX($E8:Z8)</f>
        <v>0.95724750000000003</v>
      </c>
      <c r="AA31">
        <f>MAX($E8:AA8)</f>
        <v>0.95724750000000003</v>
      </c>
      <c r="AB31">
        <f>MAX($E8:AB8)</f>
        <v>0.95724750000000003</v>
      </c>
      <c r="AC31">
        <f>MAX($E8:AC8)</f>
        <v>0.98401499999999997</v>
      </c>
      <c r="AD31">
        <f>MAX($E8:AD8)</f>
        <v>1.0496399999999999</v>
      </c>
      <c r="AE31">
        <f>MAX($E8:AE8)</f>
        <v>1.05064</v>
      </c>
      <c r="AF31">
        <f>MAX($E8:AF8)</f>
        <v>1.05064</v>
      </c>
      <c r="AG31">
        <f>MAX($E8:AG8)</f>
        <v>1.0828175</v>
      </c>
      <c r="AH31">
        <f>MAX($E8:AH8)</f>
        <v>1.15052</v>
      </c>
      <c r="AI31">
        <f>MAX($E8:AI8)</f>
        <v>1.15052</v>
      </c>
      <c r="AJ31">
        <f>MAX($E8:AJ8)</f>
        <v>1.17042</v>
      </c>
      <c r="AK31">
        <f>MAX($E8:AK8)</f>
        <v>1.2330399999999999</v>
      </c>
      <c r="AL31">
        <f>MAX($E8:AL8)</f>
        <v>1.2330399999999999</v>
      </c>
      <c r="AM31">
        <f>MAX($E8:AM8)</f>
        <v>1.3810125</v>
      </c>
      <c r="AN31">
        <f>MAX($E8:AN8)</f>
        <v>1.3810125</v>
      </c>
      <c r="AO31">
        <f>MAX($E8:AO8)</f>
        <v>1.39714</v>
      </c>
      <c r="AP31">
        <f>MAX($E8:AP8)</f>
        <v>1.4407350000000001</v>
      </c>
      <c r="AQ31">
        <f>MAX($E8:AQ8)</f>
        <v>1.4407350000000001</v>
      </c>
      <c r="AR31">
        <f>MAX($E8:AR8)</f>
        <v>1.4407350000000001</v>
      </c>
      <c r="AS31">
        <f>MAX($E8:AS8)</f>
        <v>1.4407350000000001</v>
      </c>
      <c r="AT31">
        <f>MAX($E8:AT8)</f>
        <v>1.4407350000000001</v>
      </c>
      <c r="AU31">
        <f>MAX($E8:AU8)</f>
        <v>1.4407350000000001</v>
      </c>
      <c r="AV31">
        <f>MAX($E8:AV8)</f>
        <v>1.4407350000000001</v>
      </c>
      <c r="AW31">
        <f>MAX($E8:AW8)</f>
        <v>1.4407350000000001</v>
      </c>
      <c r="AX31">
        <f>MAX($E8:AX8)</f>
        <v>1.44716</v>
      </c>
      <c r="AY31">
        <f>MAX($E8:AY8)</f>
        <v>1.497045</v>
      </c>
      <c r="AZ31">
        <f>MAX($E8:AZ8)</f>
        <v>1.497045</v>
      </c>
      <c r="BA31">
        <f>MAX($E8:BA8)</f>
        <v>1.5711375000000001</v>
      </c>
      <c r="BB31">
        <f>MAX($E8:BB8)</f>
        <v>1.5711375000000001</v>
      </c>
      <c r="BC31">
        <f>MAX($E8:BC8)</f>
        <v>1.5711375000000001</v>
      </c>
      <c r="BD31">
        <f>MAX($E8:BD8)</f>
        <v>1.5711375000000001</v>
      </c>
      <c r="BE31">
        <f>MAX($E8:BE8)</f>
        <v>1.6227799999999999</v>
      </c>
      <c r="BF31">
        <f>MAX($E8:BF8)</f>
        <v>1.6227799999999999</v>
      </c>
      <c r="BG31">
        <f>MAX($E8:BG8)</f>
        <v>1.6227799999999999</v>
      </c>
      <c r="BH31">
        <f>MAX($E8:BH8)</f>
        <v>1.6227799999999999</v>
      </c>
      <c r="BI31">
        <f>MAX($E8:BI8)</f>
        <v>1.6227799999999999</v>
      </c>
      <c r="BJ31">
        <f>MAX($E8:BJ8)</f>
        <v>1.6227799999999999</v>
      </c>
      <c r="BK31">
        <f>MAX($E8:BK8)</f>
        <v>1.642865</v>
      </c>
      <c r="BL31">
        <f>MAX($E8:BL8)</f>
        <v>1.642865</v>
      </c>
      <c r="BM31">
        <f>MAX($E8:BM8)</f>
        <v>1.642865</v>
      </c>
      <c r="BN31">
        <f>MAX($E8:BN8)</f>
        <v>1.642865</v>
      </c>
      <c r="BO31">
        <f>MAX($E8:BO8)</f>
        <v>1.6731425</v>
      </c>
      <c r="BP31">
        <f>MAX($E8:BP8)</f>
        <v>1.6731425</v>
      </c>
      <c r="BQ31">
        <f>MAX($E8:BQ8)</f>
        <v>1.6731425</v>
      </c>
      <c r="BR31">
        <f>MAX($E8:BR8)</f>
        <v>1.697705</v>
      </c>
      <c r="BS31">
        <f>MAX($E8:BS8)</f>
        <v>1.697705</v>
      </c>
      <c r="BT31">
        <f>MAX($E8:BT8)</f>
        <v>1.697705</v>
      </c>
      <c r="BU31">
        <f>MAX($E8:BU8)</f>
        <v>1.7714449999999999</v>
      </c>
      <c r="BV31">
        <f>MAX($E8:BV8)</f>
        <v>1.7714449999999999</v>
      </c>
      <c r="BW31">
        <f>MAX($E8:BW8)</f>
        <v>1.7714449999999999</v>
      </c>
      <c r="BX31">
        <f>MAX($E8:BX8)</f>
        <v>1.7714449999999999</v>
      </c>
      <c r="BY31">
        <f>MAX($E8:BY8)</f>
        <v>1.7714449999999999</v>
      </c>
      <c r="BZ31">
        <f>MAX($E8:BZ8)</f>
        <v>1.7820724999999999</v>
      </c>
      <c r="CA31">
        <f>MAX($E8:CA8)</f>
        <v>1.7878050000000001</v>
      </c>
      <c r="CB31">
        <f>MAX($E8:CB8)</f>
        <v>1.7878050000000001</v>
      </c>
      <c r="CC31">
        <f>MAX($E8:CC8)</f>
        <v>1.7878050000000001</v>
      </c>
      <c r="CD31">
        <f>MAX($E8:CD8)</f>
        <v>1.7878050000000001</v>
      </c>
      <c r="CE31">
        <f>MAX($E8:CE8)</f>
        <v>1.7878050000000001</v>
      </c>
      <c r="CF31">
        <f>MAX($E8:CF8)</f>
        <v>1.7878050000000001</v>
      </c>
      <c r="CG31">
        <f>MAX($E8:CG8)</f>
        <v>1.7878050000000001</v>
      </c>
      <c r="CH31">
        <f>MAX($E8:CH8)</f>
        <v>1.7878050000000001</v>
      </c>
      <c r="CI31">
        <f>MAX($E8:CI8)</f>
        <v>1.7878050000000001</v>
      </c>
      <c r="CJ31">
        <f>MAX($E8:CJ8)</f>
        <v>1.7878050000000001</v>
      </c>
      <c r="CK31">
        <f>MAX($E8:CK8)</f>
        <v>1.7878050000000001</v>
      </c>
      <c r="CL31">
        <f>MAX($E8:CL8)</f>
        <v>1.7878050000000001</v>
      </c>
      <c r="CM31">
        <f>MAX($E8:CM8)</f>
        <v>1.7878050000000001</v>
      </c>
      <c r="CN31">
        <f>MAX($E8:CN8)</f>
        <v>1.7878050000000001</v>
      </c>
      <c r="CO31">
        <f>MAX($E8:CO8)</f>
        <v>1.8445750000000001</v>
      </c>
      <c r="CP31">
        <f>MAX($E8:CP8)</f>
        <v>1.889775</v>
      </c>
      <c r="CQ31">
        <f>MAX($E8:CQ8)</f>
        <v>1.889775</v>
      </c>
    </row>
    <row r="32" spans="1:95" x14ac:dyDescent="0.25">
      <c r="A32">
        <f t="shared" ref="A32:C32" si="12">A9</f>
        <v>2.9299566727245701</v>
      </c>
      <c r="B32">
        <f t="shared" si="12"/>
        <v>3.3928898270150518</v>
      </c>
      <c r="C32">
        <f t="shared" si="12"/>
        <v>0.34130197531900663</v>
      </c>
      <c r="E32">
        <f>MAX($E9:E9)</f>
        <v>0</v>
      </c>
      <c r="F32">
        <f>MAX($E9:F9)</f>
        <v>5.6321250000000003E-2</v>
      </c>
      <c r="G32">
        <f>MAX($E9:G9)</f>
        <v>5.6520249999999897E-2</v>
      </c>
      <c r="H32">
        <f>MAX($E9:H9)</f>
        <v>6.4990000000000298E-2</v>
      </c>
      <c r="I32">
        <f>MAX($E9:I9)</f>
        <v>6.4990000000000298E-2</v>
      </c>
      <c r="J32">
        <f>MAX($E9:J9)</f>
        <v>6.4990000000000298E-2</v>
      </c>
      <c r="K32">
        <f>MAX($E9:K9)</f>
        <v>6.4990000000000298E-2</v>
      </c>
      <c r="L32">
        <f>MAX($E9:L9)</f>
        <v>0.10209500000000001</v>
      </c>
      <c r="M32">
        <f>MAX($E9:M9)</f>
        <v>0.10780000000000001</v>
      </c>
      <c r="N32">
        <f>MAX($E9:N9)</f>
        <v>0.10780000000000001</v>
      </c>
      <c r="O32">
        <f>MAX($E9:O9)</f>
        <v>0.18146000000000001</v>
      </c>
      <c r="P32">
        <f>MAX($E9:P9)</f>
        <v>0.18871250000000001</v>
      </c>
      <c r="Q32">
        <f>MAX($E9:Q9)</f>
        <v>0.45102249999999999</v>
      </c>
      <c r="R32">
        <f>MAX($E9:R9)</f>
        <v>0.45102249999999999</v>
      </c>
      <c r="S32">
        <f>MAX($E9:S9)</f>
        <v>0.45102249999999999</v>
      </c>
      <c r="T32">
        <f>MAX($E9:T9)</f>
        <v>0.68968750000000001</v>
      </c>
      <c r="U32">
        <f>MAX($E9:U9)</f>
        <v>0.71056750000000002</v>
      </c>
      <c r="V32">
        <f>MAX($E9:V9)</f>
        <v>0.72247499999999998</v>
      </c>
      <c r="W32">
        <f>MAX($E9:W9)</f>
        <v>0.866425</v>
      </c>
      <c r="X32">
        <f>MAX($E9:X9)</f>
        <v>0.866425</v>
      </c>
      <c r="Y32">
        <f>MAX($E9:Y9)</f>
        <v>0.866425</v>
      </c>
      <c r="Z32">
        <f>MAX($E9:Z9)</f>
        <v>0.94757749999999996</v>
      </c>
      <c r="AA32">
        <f>MAX($E9:AA9)</f>
        <v>0.95268750000000002</v>
      </c>
      <c r="AB32">
        <f>MAX($E9:AB9)</f>
        <v>0.96161249999999998</v>
      </c>
      <c r="AC32">
        <f>MAX($E9:AC9)</f>
        <v>0.99185500000000004</v>
      </c>
      <c r="AD32">
        <f>MAX($E9:AD9)</f>
        <v>1.0580350000000001</v>
      </c>
      <c r="AE32">
        <f>MAX($E9:AE9)</f>
        <v>1.0589599999999999</v>
      </c>
      <c r="AF32">
        <f>MAX($E9:AF9)</f>
        <v>1.0589599999999999</v>
      </c>
      <c r="AG32">
        <f>MAX($E9:AG9)</f>
        <v>1.0882725</v>
      </c>
      <c r="AH32">
        <f>MAX($E9:AH9)</f>
        <v>1.1575325000000001</v>
      </c>
      <c r="AI32">
        <f>MAX($E9:AI9)</f>
        <v>1.1575325000000001</v>
      </c>
      <c r="AJ32">
        <f>MAX($E9:AJ9)</f>
        <v>1.1688075</v>
      </c>
      <c r="AK32">
        <f>MAX($E9:AK9)</f>
        <v>1.2295799999999999</v>
      </c>
      <c r="AL32">
        <f>MAX($E9:AL9)</f>
        <v>1.2312624999999999</v>
      </c>
      <c r="AM32">
        <f>MAX($E9:AM9)</f>
        <v>1.3809525</v>
      </c>
      <c r="AN32">
        <f>MAX($E9:AN9)</f>
        <v>1.3809525</v>
      </c>
      <c r="AO32">
        <f>MAX($E9:AO9)</f>
        <v>1.3944425</v>
      </c>
      <c r="AP32">
        <f>MAX($E9:AP9)</f>
        <v>1.44611</v>
      </c>
      <c r="AQ32">
        <f>MAX($E9:AQ9)</f>
        <v>1.44611</v>
      </c>
      <c r="AR32">
        <f>MAX($E9:AR9)</f>
        <v>1.44611</v>
      </c>
      <c r="AS32">
        <f>MAX($E9:AS9)</f>
        <v>1.44611</v>
      </c>
      <c r="AT32">
        <f>MAX($E9:AT9)</f>
        <v>1.44611</v>
      </c>
      <c r="AU32">
        <f>MAX($E9:AU9)</f>
        <v>1.44611</v>
      </c>
      <c r="AV32">
        <f>MAX($E9:AV9)</f>
        <v>1.44611</v>
      </c>
      <c r="AW32">
        <f>MAX($E9:AW9)</f>
        <v>1.44611</v>
      </c>
      <c r="AX32">
        <f>MAX($E9:AX9)</f>
        <v>1.455965</v>
      </c>
      <c r="AY32">
        <f>MAX($E9:AY9)</f>
        <v>1.5053875000000001</v>
      </c>
      <c r="AZ32">
        <f>MAX($E9:AZ9)</f>
        <v>1.5053875000000001</v>
      </c>
      <c r="BA32">
        <f>MAX($E9:BA9)</f>
        <v>1.5794250000000001</v>
      </c>
      <c r="BB32">
        <f>MAX($E9:BB9)</f>
        <v>1.5794250000000001</v>
      </c>
      <c r="BC32">
        <f>MAX($E9:BC9)</f>
        <v>1.5794250000000001</v>
      </c>
      <c r="BD32">
        <f>MAX($E9:BD9)</f>
        <v>1.5794250000000001</v>
      </c>
      <c r="BE32">
        <f>MAX($E9:BE9)</f>
        <v>1.635575</v>
      </c>
      <c r="BF32">
        <f>MAX($E9:BF9)</f>
        <v>1.635575</v>
      </c>
      <c r="BG32">
        <f>MAX($E9:BG9)</f>
        <v>1.635575</v>
      </c>
      <c r="BH32">
        <f>MAX($E9:BH9)</f>
        <v>1.635575</v>
      </c>
      <c r="BI32">
        <f>MAX($E9:BI9)</f>
        <v>1.635575</v>
      </c>
      <c r="BJ32">
        <f>MAX($E9:BJ9)</f>
        <v>1.635575</v>
      </c>
      <c r="BK32">
        <f>MAX($E9:BK9)</f>
        <v>1.6633599999999999</v>
      </c>
      <c r="BL32">
        <f>MAX($E9:BL9)</f>
        <v>1.6633599999999999</v>
      </c>
      <c r="BM32">
        <f>MAX($E9:BM9)</f>
        <v>1.6633599999999999</v>
      </c>
      <c r="BN32">
        <f>MAX($E9:BN9)</f>
        <v>1.6633599999999999</v>
      </c>
      <c r="BO32">
        <f>MAX($E9:BO9)</f>
        <v>1.6905950000000001</v>
      </c>
      <c r="BP32">
        <f>MAX($E9:BP9)</f>
        <v>1.6905950000000001</v>
      </c>
      <c r="BQ32">
        <f>MAX($E9:BQ9)</f>
        <v>1.6905950000000001</v>
      </c>
      <c r="BR32">
        <f>MAX($E9:BR9)</f>
        <v>1.7159275</v>
      </c>
      <c r="BS32">
        <f>MAX($E9:BS9)</f>
        <v>1.7159275</v>
      </c>
      <c r="BT32">
        <f>MAX($E9:BT9)</f>
        <v>1.7159275</v>
      </c>
      <c r="BU32">
        <f>MAX($E9:BU9)</f>
        <v>1.7916350000000001</v>
      </c>
      <c r="BV32">
        <f>MAX($E9:BV9)</f>
        <v>1.7916350000000001</v>
      </c>
      <c r="BW32">
        <f>MAX($E9:BW9)</f>
        <v>1.7916350000000001</v>
      </c>
      <c r="BX32">
        <f>MAX($E9:BX9)</f>
        <v>1.7916350000000001</v>
      </c>
      <c r="BY32">
        <f>MAX($E9:BY9)</f>
        <v>1.7916350000000001</v>
      </c>
      <c r="BZ32">
        <f>MAX($E9:BZ9)</f>
        <v>1.804135</v>
      </c>
      <c r="CA32">
        <f>MAX($E9:CA9)</f>
        <v>1.8117825000000001</v>
      </c>
      <c r="CB32">
        <f>MAX($E9:CB9)</f>
        <v>1.8117825000000001</v>
      </c>
      <c r="CC32">
        <f>MAX($E9:CC9)</f>
        <v>1.8117825000000001</v>
      </c>
      <c r="CD32">
        <f>MAX($E9:CD9)</f>
        <v>1.8117825000000001</v>
      </c>
      <c r="CE32">
        <f>MAX($E9:CE9)</f>
        <v>1.8117825000000001</v>
      </c>
      <c r="CF32">
        <f>MAX($E9:CF9)</f>
        <v>1.8117825000000001</v>
      </c>
      <c r="CG32">
        <f>MAX($E9:CG9)</f>
        <v>1.8117825000000001</v>
      </c>
      <c r="CH32">
        <f>MAX($E9:CH9)</f>
        <v>1.8117825000000001</v>
      </c>
      <c r="CI32">
        <f>MAX($E9:CI9)</f>
        <v>1.8117825000000001</v>
      </c>
      <c r="CJ32">
        <f>MAX($E9:CJ9)</f>
        <v>1.8117825000000001</v>
      </c>
      <c r="CK32">
        <f>MAX($E9:CK9)</f>
        <v>1.8117825000000001</v>
      </c>
      <c r="CL32">
        <f>MAX($E9:CL9)</f>
        <v>1.81301</v>
      </c>
      <c r="CM32">
        <f>MAX($E9:CM9)</f>
        <v>1.81301</v>
      </c>
      <c r="CN32">
        <f>MAX($E9:CN9)</f>
        <v>1.81301</v>
      </c>
      <c r="CO32">
        <f>MAX($E9:CO9)</f>
        <v>1.8718900000000001</v>
      </c>
      <c r="CP32">
        <f>MAX($E9:CP9)</f>
        <v>1.91605</v>
      </c>
      <c r="CQ32">
        <f>MAX($E9:CQ9)</f>
        <v>1.91605</v>
      </c>
    </row>
    <row r="33" spans="1:96" x14ac:dyDescent="0.25">
      <c r="A33">
        <f t="shared" ref="A33:C33" si="13">A10</f>
        <v>2.8436008868869198</v>
      </c>
      <c r="B33">
        <f t="shared" si="13"/>
        <v>3.2928898270150531</v>
      </c>
      <c r="C33">
        <f t="shared" si="13"/>
        <v>0.35166679143034274</v>
      </c>
      <c r="E33">
        <f>MAX($E10:E10)</f>
        <v>0</v>
      </c>
      <c r="F33">
        <f>MAX($E10:F10)</f>
        <v>5.1681749999999999E-2</v>
      </c>
      <c r="G33">
        <f>MAX($E10:G10)</f>
        <v>5.1896499999999998E-2</v>
      </c>
      <c r="H33">
        <f>MAX($E10:H10)</f>
        <v>5.1896499999999998E-2</v>
      </c>
      <c r="I33">
        <f>MAX($E10:I10)</f>
        <v>5.1896499999999998E-2</v>
      </c>
      <c r="J33">
        <f>MAX($E10:J10)</f>
        <v>5.1896499999999998E-2</v>
      </c>
      <c r="K33">
        <f>MAX($E10:K10)</f>
        <v>5.1896499999999998E-2</v>
      </c>
      <c r="L33">
        <f>MAX($E10:L10)</f>
        <v>5.1896499999999998E-2</v>
      </c>
      <c r="M33">
        <f>MAX($E10:M10)</f>
        <v>5.1896499999999998E-2</v>
      </c>
      <c r="N33">
        <f>MAX($E10:N10)</f>
        <v>5.1896499999999998E-2</v>
      </c>
      <c r="O33">
        <f>MAX($E10:O10)</f>
        <v>0.100687499999999</v>
      </c>
      <c r="P33">
        <f>MAX($E10:P10)</f>
        <v>0.10141500000000001</v>
      </c>
      <c r="Q33">
        <f>MAX($E10:Q10)</f>
        <v>0.31334250000000002</v>
      </c>
      <c r="R33">
        <f>MAX($E10:R10)</f>
        <v>0.31334250000000002</v>
      </c>
      <c r="S33">
        <f>MAX($E10:S10)</f>
        <v>0.31334250000000002</v>
      </c>
      <c r="T33">
        <f>MAX($E10:T10)</f>
        <v>0.545435</v>
      </c>
      <c r="U33">
        <f>MAX($E10:U10)</f>
        <v>0.56535500000000005</v>
      </c>
      <c r="V33">
        <f>MAX($E10:V10)</f>
        <v>0.57665250000000001</v>
      </c>
      <c r="W33">
        <f>MAX($E10:W10)</f>
        <v>0.81480249999999999</v>
      </c>
      <c r="X33">
        <f>MAX($E10:X10)</f>
        <v>0.81480249999999999</v>
      </c>
      <c r="Y33">
        <f>MAX($E10:Y10)</f>
        <v>0.81480249999999999</v>
      </c>
      <c r="Z33">
        <f>MAX($E10:Z10)</f>
        <v>0.95372000000000001</v>
      </c>
      <c r="AA33">
        <f>MAX($E10:AA10)</f>
        <v>1.002335</v>
      </c>
      <c r="AB33">
        <f>MAX($E10:AB10)</f>
        <v>1.0118149999999999</v>
      </c>
      <c r="AC33">
        <f>MAX($E10:AC10)</f>
        <v>1.0424675000000001</v>
      </c>
      <c r="AD33">
        <f>MAX($E10:AD10)</f>
        <v>1.109615</v>
      </c>
      <c r="AE33">
        <f>MAX($E10:AE10)</f>
        <v>1.1104875000000001</v>
      </c>
      <c r="AF33">
        <f>MAX($E10:AF10)</f>
        <v>1.1104875000000001</v>
      </c>
      <c r="AG33">
        <f>MAX($E10:AG10)</f>
        <v>1.1402375</v>
      </c>
      <c r="AH33">
        <f>MAX($E10:AH10)</f>
        <v>1.2096074999999999</v>
      </c>
      <c r="AI33">
        <f>MAX($E10:AI10)</f>
        <v>1.2096074999999999</v>
      </c>
      <c r="AJ33">
        <f>MAX($E10:AJ10)</f>
        <v>1.2121575</v>
      </c>
      <c r="AK33">
        <f>MAX($E10:AK10)</f>
        <v>1.27172</v>
      </c>
      <c r="AL33">
        <f>MAX($E10:AL10)</f>
        <v>1.2749349999999999</v>
      </c>
      <c r="AM33">
        <f>MAX($E10:AM10)</f>
        <v>1.43438</v>
      </c>
      <c r="AN33">
        <f>MAX($E10:AN10)</f>
        <v>1.43438</v>
      </c>
      <c r="AO33">
        <f>MAX($E10:AO10)</f>
        <v>1.44947</v>
      </c>
      <c r="AP33">
        <f>MAX($E10:AP10)</f>
        <v>1.5220475</v>
      </c>
      <c r="AQ33">
        <f>MAX($E10:AQ10)</f>
        <v>1.5220475</v>
      </c>
      <c r="AR33">
        <f>MAX($E10:AR10)</f>
        <v>1.5220475</v>
      </c>
      <c r="AS33">
        <f>MAX($E10:AS10)</f>
        <v>1.5220475</v>
      </c>
      <c r="AT33">
        <f>MAX($E10:AT10)</f>
        <v>1.5220475</v>
      </c>
      <c r="AU33">
        <f>MAX($E10:AU10)</f>
        <v>1.5220475</v>
      </c>
      <c r="AV33">
        <f>MAX($E10:AV10)</f>
        <v>1.5220475</v>
      </c>
      <c r="AW33">
        <f>MAX($E10:AW10)</f>
        <v>1.5220475</v>
      </c>
      <c r="AX33">
        <f>MAX($E10:AX10)</f>
        <v>1.5426150000000001</v>
      </c>
      <c r="AY33">
        <f>MAX($E10:AY10)</f>
        <v>1.5866275000000001</v>
      </c>
      <c r="AZ33">
        <f>MAX($E10:AZ10)</f>
        <v>1.5866275000000001</v>
      </c>
      <c r="BA33">
        <f>MAX($E10:BA10)</f>
        <v>1.6751100000000001</v>
      </c>
      <c r="BB33">
        <f>MAX($E10:BB10)</f>
        <v>1.6751100000000001</v>
      </c>
      <c r="BC33">
        <f>MAX($E10:BC10)</f>
        <v>1.6751100000000001</v>
      </c>
      <c r="BD33">
        <f>MAX($E10:BD10)</f>
        <v>1.6751100000000001</v>
      </c>
      <c r="BE33">
        <f>MAX($E10:BE10)</f>
        <v>1.7552525000000001</v>
      </c>
      <c r="BF33">
        <f>MAX($E10:BF10)</f>
        <v>1.7552525000000001</v>
      </c>
      <c r="BG33">
        <f>MAX($E10:BG10)</f>
        <v>1.7552525000000001</v>
      </c>
      <c r="BH33">
        <f>MAX($E10:BH10)</f>
        <v>1.7552525000000001</v>
      </c>
      <c r="BI33">
        <f>MAX($E10:BI10)</f>
        <v>1.7552525000000001</v>
      </c>
      <c r="BJ33">
        <f>MAX($E10:BJ10)</f>
        <v>1.7552525000000001</v>
      </c>
      <c r="BK33">
        <f>MAX($E10:BK10)</f>
        <v>1.79034</v>
      </c>
      <c r="BL33">
        <f>MAX($E10:BL10)</f>
        <v>1.79034</v>
      </c>
      <c r="BM33">
        <f>MAX($E10:BM10)</f>
        <v>1.79034</v>
      </c>
      <c r="BN33">
        <f>MAX($E10:BN10)</f>
        <v>1.79034</v>
      </c>
      <c r="BO33">
        <f>MAX($E10:BO10)</f>
        <v>1.8266975000000001</v>
      </c>
      <c r="BP33">
        <f>MAX($E10:BP10)</f>
        <v>1.8266975000000001</v>
      </c>
      <c r="BQ33">
        <f>MAX($E10:BQ10)</f>
        <v>1.8266975000000001</v>
      </c>
      <c r="BR33">
        <f>MAX($E10:BR10)</f>
        <v>1.8520449999999999</v>
      </c>
      <c r="BS33">
        <f>MAX($E10:BS10)</f>
        <v>1.8520449999999999</v>
      </c>
      <c r="BT33">
        <f>MAX($E10:BT10)</f>
        <v>1.8520449999999999</v>
      </c>
      <c r="BU33">
        <f>MAX($E10:BU10)</f>
        <v>1.9294724999999999</v>
      </c>
      <c r="BV33">
        <f>MAX($E10:BV10)</f>
        <v>1.9294724999999999</v>
      </c>
      <c r="BW33">
        <f>MAX($E10:BW10)</f>
        <v>1.9294724999999999</v>
      </c>
      <c r="BX33">
        <f>MAX($E10:BX10)</f>
        <v>1.9294724999999999</v>
      </c>
      <c r="BY33">
        <f>MAX($E10:BY10)</f>
        <v>1.9294724999999999</v>
      </c>
      <c r="BZ33">
        <f>MAX($E10:BZ10)</f>
        <v>1.9430674999999999</v>
      </c>
      <c r="CA33">
        <f>MAX($E10:CA10)</f>
        <v>1.948545</v>
      </c>
      <c r="CB33">
        <f>MAX($E10:CB10)</f>
        <v>1.948545</v>
      </c>
      <c r="CC33">
        <f>MAX($E10:CC10)</f>
        <v>1.948545</v>
      </c>
      <c r="CD33">
        <f>MAX($E10:CD10)</f>
        <v>1.948545</v>
      </c>
      <c r="CE33">
        <f>MAX($E10:CE10)</f>
        <v>1.948545</v>
      </c>
      <c r="CF33">
        <f>MAX($E10:CF10)</f>
        <v>1.948545</v>
      </c>
      <c r="CG33">
        <f>MAX($E10:CG10)</f>
        <v>1.948545</v>
      </c>
      <c r="CH33">
        <f>MAX($E10:CH10)</f>
        <v>1.948545</v>
      </c>
      <c r="CI33">
        <f>MAX($E10:CI10)</f>
        <v>1.948545</v>
      </c>
      <c r="CJ33">
        <f>MAX($E10:CJ10)</f>
        <v>1.9507175000000001</v>
      </c>
      <c r="CK33">
        <f>MAX($E10:CK10)</f>
        <v>1.9507175000000001</v>
      </c>
      <c r="CL33">
        <f>MAX($E10:CL10)</f>
        <v>1.9638599999999999</v>
      </c>
      <c r="CM33">
        <f>MAX($E10:CM10)</f>
        <v>1.9638599999999999</v>
      </c>
      <c r="CN33">
        <f>MAX($E10:CN10)</f>
        <v>1.9638599999999999</v>
      </c>
      <c r="CO33">
        <f>MAX($E10:CO10)</f>
        <v>2.030065</v>
      </c>
      <c r="CP33">
        <f>MAX($E10:CP10)</f>
        <v>2.0783900000000002</v>
      </c>
      <c r="CQ33">
        <f>MAX($E10:CQ10)</f>
        <v>2.0783900000000002</v>
      </c>
    </row>
    <row r="34" spans="1:96" x14ac:dyDescent="0.25">
      <c r="A34">
        <f t="shared" ref="A34:C34" si="14">A11</f>
        <v>2.75724510104927</v>
      </c>
      <c r="B34">
        <f t="shared" si="14"/>
        <v>3.1928898270150543</v>
      </c>
      <c r="C34">
        <f t="shared" si="14"/>
        <v>0.36268085112181353</v>
      </c>
      <c r="E34">
        <f>MAX($E11:E11)</f>
        <v>0</v>
      </c>
      <c r="F34">
        <f>MAX($E11:F11)</f>
        <v>4.7654249999999898E-2</v>
      </c>
      <c r="G34">
        <f>MAX($E11:G11)</f>
        <v>4.9406250000000103E-2</v>
      </c>
      <c r="H34">
        <f>MAX($E11:H11)</f>
        <v>4.9406250000000103E-2</v>
      </c>
      <c r="I34">
        <f>MAX($E11:I11)</f>
        <v>4.9406250000000103E-2</v>
      </c>
      <c r="J34">
        <f>MAX($E11:J11)</f>
        <v>4.9406250000000103E-2</v>
      </c>
      <c r="K34">
        <f>MAX($E11:K11)</f>
        <v>4.9406250000000103E-2</v>
      </c>
      <c r="L34">
        <f>MAX($E11:L11)</f>
        <v>4.9406250000000103E-2</v>
      </c>
      <c r="M34">
        <f>MAX($E11:M11)</f>
        <v>4.9406250000000103E-2</v>
      </c>
      <c r="N34">
        <f>MAX($E11:N11)</f>
        <v>4.9406250000000103E-2</v>
      </c>
      <c r="O34">
        <f>MAX($E11:O11)</f>
        <v>4.9406250000000103E-2</v>
      </c>
      <c r="P34">
        <f>MAX($E11:P11)</f>
        <v>4.9406250000000103E-2</v>
      </c>
      <c r="Q34">
        <f>MAX($E11:Q11)</f>
        <v>0.15454499999999999</v>
      </c>
      <c r="R34">
        <f>MAX($E11:R11)</f>
        <v>0.15454499999999999</v>
      </c>
      <c r="S34">
        <f>MAX($E11:S11)</f>
        <v>0.15454499999999999</v>
      </c>
      <c r="T34">
        <f>MAX($E11:T11)</f>
        <v>0.38750000000000001</v>
      </c>
      <c r="U34">
        <f>MAX($E11:U11)</f>
        <v>0.40945500000000001</v>
      </c>
      <c r="V34">
        <f>MAX($E11:V11)</f>
        <v>0.42293249999999999</v>
      </c>
      <c r="W34">
        <f>MAX($E11:W11)</f>
        <v>0.64847500000000002</v>
      </c>
      <c r="X34">
        <f>MAX($E11:X11)</f>
        <v>0.64847500000000002</v>
      </c>
      <c r="Y34">
        <f>MAX($E11:Y11)</f>
        <v>0.64847500000000002</v>
      </c>
      <c r="Z34">
        <f>MAX($E11:Z11)</f>
        <v>0.81474749999999996</v>
      </c>
      <c r="AA34">
        <f>MAX($E11:AA11)</f>
        <v>0.84787250000000003</v>
      </c>
      <c r="AB34">
        <f>MAX($E11:AB11)</f>
        <v>0.86195250000000001</v>
      </c>
      <c r="AC34">
        <f>MAX($E11:AC11)</f>
        <v>0.8871175</v>
      </c>
      <c r="AD34">
        <f>MAX($E11:AD11)</f>
        <v>0.95376000000000005</v>
      </c>
      <c r="AE34">
        <f>MAX($E11:AE11)</f>
        <v>0.95376000000000005</v>
      </c>
      <c r="AF34">
        <f>MAX($E11:AF11)</f>
        <v>0.95376000000000005</v>
      </c>
      <c r="AG34">
        <f>MAX($E11:AG11)</f>
        <v>0.97294750000000096</v>
      </c>
      <c r="AH34">
        <f>MAX($E11:AH11)</f>
        <v>1.0411349999999999</v>
      </c>
      <c r="AI34">
        <f>MAX($E11:AI11)</f>
        <v>1.0411349999999999</v>
      </c>
      <c r="AJ34">
        <f>MAX($E11:AJ11)</f>
        <v>1.0411349999999999</v>
      </c>
      <c r="AK34">
        <f>MAX($E11:AK11)</f>
        <v>1.084635</v>
      </c>
      <c r="AL34">
        <f>MAX($E11:AL11)</f>
        <v>1.0870850000000001</v>
      </c>
      <c r="AM34">
        <f>MAX($E11:AM11)</f>
        <v>1.2319500000000001</v>
      </c>
      <c r="AN34">
        <f>MAX($E11:AN11)</f>
        <v>1.2319500000000001</v>
      </c>
      <c r="AO34">
        <f>MAX($E11:AO11)</f>
        <v>1.2473350000000001</v>
      </c>
      <c r="AP34">
        <f>MAX($E11:AP11)</f>
        <v>1.3046575</v>
      </c>
      <c r="AQ34">
        <f>MAX($E11:AQ11)</f>
        <v>1.3046575</v>
      </c>
      <c r="AR34">
        <f>MAX($E11:AR11)</f>
        <v>1.3046575</v>
      </c>
      <c r="AS34">
        <f>MAX($E11:AS11)</f>
        <v>1.3046575</v>
      </c>
      <c r="AT34">
        <f>MAX($E11:AT11)</f>
        <v>1.3046575</v>
      </c>
      <c r="AU34">
        <f>MAX($E11:AU11)</f>
        <v>1.3046575</v>
      </c>
      <c r="AV34">
        <f>MAX($E11:AV11)</f>
        <v>1.3046575</v>
      </c>
      <c r="AW34">
        <f>MAX($E11:AW11)</f>
        <v>1.3046575</v>
      </c>
      <c r="AX34">
        <f>MAX($E11:AX11)</f>
        <v>1.3227249999999999</v>
      </c>
      <c r="AY34">
        <f>MAX($E11:AY11)</f>
        <v>1.369855</v>
      </c>
      <c r="AZ34">
        <f>MAX($E11:AZ11)</f>
        <v>1.369855</v>
      </c>
      <c r="BA34">
        <f>MAX($E11:BA11)</f>
        <v>1.4558125</v>
      </c>
      <c r="BB34">
        <f>MAX($E11:BB11)</f>
        <v>1.4558125</v>
      </c>
      <c r="BC34">
        <f>MAX($E11:BC11)</f>
        <v>1.4558125</v>
      </c>
      <c r="BD34">
        <f>MAX($E11:BD11)</f>
        <v>1.4558125</v>
      </c>
      <c r="BE34">
        <f>MAX($E11:BE11)</f>
        <v>1.5291349999999999</v>
      </c>
      <c r="BF34">
        <f>MAX($E11:BF11)</f>
        <v>1.5291349999999999</v>
      </c>
      <c r="BG34">
        <f>MAX($E11:BG11)</f>
        <v>1.5291349999999999</v>
      </c>
      <c r="BH34">
        <f>MAX($E11:BH11)</f>
        <v>1.5291349999999999</v>
      </c>
      <c r="BI34">
        <f>MAX($E11:BI11)</f>
        <v>1.5291349999999999</v>
      </c>
      <c r="BJ34">
        <f>MAX($E11:BJ11)</f>
        <v>1.5291349999999999</v>
      </c>
      <c r="BK34">
        <f>MAX($E11:BK11)</f>
        <v>1.5667125</v>
      </c>
      <c r="BL34">
        <f>MAX($E11:BL11)</f>
        <v>1.5667125</v>
      </c>
      <c r="BM34">
        <f>MAX($E11:BM11)</f>
        <v>1.5667125</v>
      </c>
      <c r="BN34">
        <f>MAX($E11:BN11)</f>
        <v>1.5667125</v>
      </c>
      <c r="BO34">
        <f>MAX($E11:BO11)</f>
        <v>1.5912875</v>
      </c>
      <c r="BP34">
        <f>MAX($E11:BP11)</f>
        <v>1.5912875</v>
      </c>
      <c r="BQ34">
        <f>MAX($E11:BQ11)</f>
        <v>1.5912875</v>
      </c>
      <c r="BR34">
        <f>MAX($E11:BR11)</f>
        <v>1.6196550000000001</v>
      </c>
      <c r="BS34">
        <f>MAX($E11:BS11)</f>
        <v>1.6196550000000001</v>
      </c>
      <c r="BT34">
        <f>MAX($E11:BT11)</f>
        <v>1.6196550000000001</v>
      </c>
      <c r="BU34">
        <f>MAX($E11:BU11)</f>
        <v>1.6967425</v>
      </c>
      <c r="BV34">
        <f>MAX($E11:BV11)</f>
        <v>1.6967425</v>
      </c>
      <c r="BW34">
        <f>MAX($E11:BW11)</f>
        <v>1.6967425</v>
      </c>
      <c r="BX34">
        <f>MAX($E11:BX11)</f>
        <v>1.6967425</v>
      </c>
      <c r="BY34">
        <f>MAX($E11:BY11)</f>
        <v>1.6967425</v>
      </c>
      <c r="BZ34">
        <f>MAX($E11:BZ11)</f>
        <v>1.709695</v>
      </c>
      <c r="CA34">
        <f>MAX($E11:CA11)</f>
        <v>1.719325</v>
      </c>
      <c r="CB34">
        <f>MAX($E11:CB11)</f>
        <v>1.719325</v>
      </c>
      <c r="CC34">
        <f>MAX($E11:CC11)</f>
        <v>1.719325</v>
      </c>
      <c r="CD34">
        <f>MAX($E11:CD11)</f>
        <v>1.719325</v>
      </c>
      <c r="CE34">
        <f>MAX($E11:CE11)</f>
        <v>1.719325</v>
      </c>
      <c r="CF34">
        <f>MAX($E11:CF11)</f>
        <v>1.719325</v>
      </c>
      <c r="CG34">
        <f>MAX($E11:CG11)</f>
        <v>1.719325</v>
      </c>
      <c r="CH34">
        <f>MAX($E11:CH11)</f>
        <v>1.719325</v>
      </c>
      <c r="CI34">
        <f>MAX($E11:CI11)</f>
        <v>1.719325</v>
      </c>
      <c r="CJ34">
        <f>MAX($E11:CJ11)</f>
        <v>1.7261074999999999</v>
      </c>
      <c r="CK34">
        <f>MAX($E11:CK11)</f>
        <v>1.7261074999999999</v>
      </c>
      <c r="CL34">
        <f>MAX($E11:CL11)</f>
        <v>1.7359150000000001</v>
      </c>
      <c r="CM34">
        <f>MAX($E11:CM11)</f>
        <v>1.7359150000000001</v>
      </c>
      <c r="CN34">
        <f>MAX($E11:CN11)</f>
        <v>1.7359150000000001</v>
      </c>
      <c r="CO34">
        <f>MAX($E11:CO11)</f>
        <v>1.80413</v>
      </c>
      <c r="CP34">
        <f>MAX($E11:CP11)</f>
        <v>1.85297</v>
      </c>
      <c r="CQ34">
        <f>MAX($E11:CQ11)</f>
        <v>1.85297</v>
      </c>
    </row>
    <row r="35" spans="1:96" x14ac:dyDescent="0.25">
      <c r="A35">
        <f t="shared" ref="A35:C35" si="15">A12</f>
        <v>2.6708893152116202</v>
      </c>
      <c r="B35">
        <f t="shared" si="15"/>
        <v>3.092889827015056</v>
      </c>
      <c r="C35">
        <f t="shared" si="15"/>
        <v>0.3744071288557938</v>
      </c>
      <c r="E35">
        <f>MAX($E12:E12)</f>
        <v>0</v>
      </c>
      <c r="F35">
        <f>MAX($E12:F12)</f>
        <v>4.5496249999999898E-2</v>
      </c>
      <c r="G35">
        <f>MAX($E12:G12)</f>
        <v>4.5496249999999898E-2</v>
      </c>
      <c r="H35">
        <f>MAX($E12:H12)</f>
        <v>4.5496249999999898E-2</v>
      </c>
      <c r="I35">
        <f>MAX($E12:I12)</f>
        <v>4.5496249999999898E-2</v>
      </c>
      <c r="J35">
        <f>MAX($E12:J12)</f>
        <v>4.5496249999999898E-2</v>
      </c>
      <c r="K35">
        <f>MAX($E12:K12)</f>
        <v>4.5496249999999898E-2</v>
      </c>
      <c r="L35">
        <f>MAX($E12:L12)</f>
        <v>4.5496249999999898E-2</v>
      </c>
      <c r="M35">
        <f>MAX($E12:M12)</f>
        <v>4.5496249999999898E-2</v>
      </c>
      <c r="N35">
        <f>MAX($E12:N12)</f>
        <v>4.5496249999999898E-2</v>
      </c>
      <c r="O35">
        <f>MAX($E12:O12)</f>
        <v>4.5496249999999898E-2</v>
      </c>
      <c r="P35">
        <f>MAX($E12:P12)</f>
        <v>4.5496249999999898E-2</v>
      </c>
      <c r="Q35">
        <f>MAX($E12:Q12)</f>
        <v>8.8592499999999894E-2</v>
      </c>
      <c r="R35">
        <f>MAX($E12:R12)</f>
        <v>8.8592499999999894E-2</v>
      </c>
      <c r="S35">
        <f>MAX($E12:S12)</f>
        <v>8.8592499999999894E-2</v>
      </c>
      <c r="T35">
        <f>MAX($E12:T12)</f>
        <v>0.32579000000000002</v>
      </c>
      <c r="U35">
        <f>MAX($E12:U12)</f>
        <v>0.34664</v>
      </c>
      <c r="V35">
        <f>MAX($E12:V12)</f>
        <v>0.35980250000000003</v>
      </c>
      <c r="W35">
        <f>MAX($E12:W12)</f>
        <v>0.58484250000000004</v>
      </c>
      <c r="X35">
        <f>MAX($E12:X12)</f>
        <v>0.58484250000000004</v>
      </c>
      <c r="Y35">
        <f>MAX($E12:Y12)</f>
        <v>0.58484250000000004</v>
      </c>
      <c r="Z35">
        <f>MAX($E12:Z12)</f>
        <v>0.75055249999999996</v>
      </c>
      <c r="AA35">
        <f>MAX($E12:AA12)</f>
        <v>0.84606000000000003</v>
      </c>
      <c r="AB35">
        <f>MAX($E12:AB12)</f>
        <v>0.86156499999999903</v>
      </c>
      <c r="AC35">
        <f>MAX($E12:AC12)</f>
        <v>0.88302749999999997</v>
      </c>
      <c r="AD35">
        <f>MAX($E12:AD12)</f>
        <v>0.9971025</v>
      </c>
      <c r="AE35">
        <f>MAX($E12:AE12)</f>
        <v>0.9971025</v>
      </c>
      <c r="AF35">
        <f>MAX($E12:AF12)</f>
        <v>0.9971025</v>
      </c>
      <c r="AG35">
        <f>MAX($E12:AG12)</f>
        <v>1.0284525</v>
      </c>
      <c r="AH35">
        <f>MAX($E12:AH12)</f>
        <v>1.0951599999999999</v>
      </c>
      <c r="AI35">
        <f>MAX($E12:AI12)</f>
        <v>1.0951599999999999</v>
      </c>
      <c r="AJ35">
        <f>MAX($E12:AJ12)</f>
        <v>1.0951599999999999</v>
      </c>
      <c r="AK35">
        <f>MAX($E12:AK12)</f>
        <v>1.1359874999999999</v>
      </c>
      <c r="AL35">
        <f>MAX($E12:AL12)</f>
        <v>1.13784</v>
      </c>
      <c r="AM35">
        <f>MAX($E12:AM12)</f>
        <v>1.2874350000000001</v>
      </c>
      <c r="AN35">
        <f>MAX($E12:AN12)</f>
        <v>1.2874350000000001</v>
      </c>
      <c r="AO35">
        <f>MAX($E12:AO12)</f>
        <v>1.3041750000000001</v>
      </c>
      <c r="AP35">
        <f>MAX($E12:AP12)</f>
        <v>1.3685175000000001</v>
      </c>
      <c r="AQ35">
        <f>MAX($E12:AQ12)</f>
        <v>1.3685175000000001</v>
      </c>
      <c r="AR35">
        <f>MAX($E12:AR12)</f>
        <v>1.3685175000000001</v>
      </c>
      <c r="AS35">
        <f>MAX($E12:AS12)</f>
        <v>1.3685175000000001</v>
      </c>
      <c r="AT35">
        <f>MAX($E12:AT12)</f>
        <v>1.3685175000000001</v>
      </c>
      <c r="AU35">
        <f>MAX($E12:AU12)</f>
        <v>1.3685175000000001</v>
      </c>
      <c r="AV35">
        <f>MAX($E12:AV12)</f>
        <v>1.3685175000000001</v>
      </c>
      <c r="AW35">
        <f>MAX($E12:AW12)</f>
        <v>1.3685175000000001</v>
      </c>
      <c r="AX35">
        <f>MAX($E12:AX12)</f>
        <v>1.38558</v>
      </c>
      <c r="AY35">
        <f>MAX($E12:AY12)</f>
        <v>1.4321349999999999</v>
      </c>
      <c r="AZ35">
        <f>MAX($E12:AZ12)</f>
        <v>1.4321349999999999</v>
      </c>
      <c r="BA35">
        <f>MAX($E12:BA12)</f>
        <v>1.5143175</v>
      </c>
      <c r="BB35">
        <f>MAX($E12:BB12)</f>
        <v>1.5143175</v>
      </c>
      <c r="BC35">
        <f>MAX($E12:BC12)</f>
        <v>1.5143175</v>
      </c>
      <c r="BD35">
        <f>MAX($E12:BD12)</f>
        <v>1.5143175</v>
      </c>
      <c r="BE35">
        <f>MAX($E12:BE12)</f>
        <v>1.5950675000000001</v>
      </c>
      <c r="BF35">
        <f>MAX($E12:BF12)</f>
        <v>1.5950675000000001</v>
      </c>
      <c r="BG35">
        <f>MAX($E12:BG12)</f>
        <v>1.5950675000000001</v>
      </c>
      <c r="BH35">
        <f>MAX($E12:BH12)</f>
        <v>1.5950675000000001</v>
      </c>
      <c r="BI35">
        <f>MAX($E12:BI12)</f>
        <v>1.5950675000000001</v>
      </c>
      <c r="BJ35">
        <f>MAX($E12:BJ12)</f>
        <v>1.5950675000000001</v>
      </c>
      <c r="BK35">
        <f>MAX($E12:BK12)</f>
        <v>1.637915</v>
      </c>
      <c r="BL35">
        <f>MAX($E12:BL12)</f>
        <v>1.637915</v>
      </c>
      <c r="BM35">
        <f>MAX($E12:BM12)</f>
        <v>1.637915</v>
      </c>
      <c r="BN35">
        <f>MAX($E12:BN12)</f>
        <v>1.637915</v>
      </c>
      <c r="BO35">
        <f>MAX($E12:BO12)</f>
        <v>1.6620550000000001</v>
      </c>
      <c r="BP35">
        <f>MAX($E12:BP12)</f>
        <v>1.6620550000000001</v>
      </c>
      <c r="BQ35">
        <f>MAX($E12:BQ12)</f>
        <v>1.6620550000000001</v>
      </c>
      <c r="BR35">
        <f>MAX($E12:BR12)</f>
        <v>1.6915225</v>
      </c>
      <c r="BS35">
        <f>MAX($E12:BS12)</f>
        <v>1.6915225</v>
      </c>
      <c r="BT35">
        <f>MAX($E12:BT12)</f>
        <v>1.6915225</v>
      </c>
      <c r="BU35">
        <f>MAX($E12:BU12)</f>
        <v>1.77108</v>
      </c>
      <c r="BV35">
        <f>MAX($E12:BV12)</f>
        <v>1.77108</v>
      </c>
      <c r="BW35">
        <f>MAX($E12:BW12)</f>
        <v>1.77108</v>
      </c>
      <c r="BX35">
        <f>MAX($E12:BX12)</f>
        <v>1.77108</v>
      </c>
      <c r="BY35">
        <f>MAX($E12:BY12)</f>
        <v>1.77108</v>
      </c>
      <c r="BZ35">
        <f>MAX($E12:BZ12)</f>
        <v>1.7886575</v>
      </c>
      <c r="CA35">
        <f>MAX($E12:CA12)</f>
        <v>1.7943275000000001</v>
      </c>
      <c r="CB35">
        <f>MAX($E12:CB12)</f>
        <v>1.7943275000000001</v>
      </c>
      <c r="CC35">
        <f>MAX($E12:CC12)</f>
        <v>1.7943275000000001</v>
      </c>
      <c r="CD35">
        <f>MAX($E12:CD12)</f>
        <v>1.7943275000000001</v>
      </c>
      <c r="CE35">
        <f>MAX($E12:CE12)</f>
        <v>1.7943275000000001</v>
      </c>
      <c r="CF35">
        <f>MAX($E12:CF12)</f>
        <v>1.7943275000000001</v>
      </c>
      <c r="CG35">
        <f>MAX($E12:CG12)</f>
        <v>1.7943275000000001</v>
      </c>
      <c r="CH35">
        <f>MAX($E12:CH12)</f>
        <v>1.7943275000000001</v>
      </c>
      <c r="CI35">
        <f>MAX($E12:CI12)</f>
        <v>1.7943275000000001</v>
      </c>
      <c r="CJ35">
        <f>MAX($E12:CJ12)</f>
        <v>1.8071225</v>
      </c>
      <c r="CK35">
        <f>MAX($E12:CK12)</f>
        <v>1.8071225</v>
      </c>
      <c r="CL35">
        <f>MAX($E12:CL12)</f>
        <v>1.8159700000000001</v>
      </c>
      <c r="CM35">
        <f>MAX($E12:CM12)</f>
        <v>1.8159700000000001</v>
      </c>
      <c r="CN35">
        <f>MAX($E12:CN12)</f>
        <v>1.8159700000000001</v>
      </c>
      <c r="CO35">
        <f>MAX($E12:CO12)</f>
        <v>1.8862350000000001</v>
      </c>
      <c r="CP35">
        <f>MAX($E12:CP12)</f>
        <v>1.9317424999999999</v>
      </c>
      <c r="CQ35">
        <f>MAX($E12:CQ12)</f>
        <v>1.9317424999999999</v>
      </c>
    </row>
    <row r="36" spans="1:96" x14ac:dyDescent="0.25">
      <c r="A36">
        <f t="shared" ref="A36:C36" si="16">A13</f>
        <v>2.58453352937397</v>
      </c>
      <c r="B36">
        <f t="shared" si="16"/>
        <v>2.9928898270150568</v>
      </c>
      <c r="C36">
        <f t="shared" si="16"/>
        <v>0.38691701563733311</v>
      </c>
      <c r="E36">
        <f>MAX($E13:E13)</f>
        <v>0</v>
      </c>
      <c r="F36">
        <f>MAX($E13:F13)</f>
        <v>4.2736500000000101E-2</v>
      </c>
      <c r="G36">
        <f>MAX($E13:G13)</f>
        <v>4.2736500000000101E-2</v>
      </c>
      <c r="H36">
        <f>MAX($E13:H13)</f>
        <v>4.2736500000000101E-2</v>
      </c>
      <c r="I36">
        <f>MAX($E13:I13)</f>
        <v>4.2736500000000101E-2</v>
      </c>
      <c r="J36">
        <f>MAX($E13:J13)</f>
        <v>4.2736500000000101E-2</v>
      </c>
      <c r="K36">
        <f>MAX($E13:K13)</f>
        <v>4.2736500000000101E-2</v>
      </c>
      <c r="L36">
        <f>MAX($E13:L13)</f>
        <v>4.2736500000000101E-2</v>
      </c>
      <c r="M36">
        <f>MAX($E13:M13)</f>
        <v>4.2736500000000101E-2</v>
      </c>
      <c r="N36">
        <f>MAX($E13:N13)</f>
        <v>4.2736500000000101E-2</v>
      </c>
      <c r="O36">
        <f>MAX($E13:O13)</f>
        <v>4.2736500000000101E-2</v>
      </c>
      <c r="P36">
        <f>MAX($E13:P13)</f>
        <v>4.2736500000000101E-2</v>
      </c>
      <c r="Q36">
        <f>MAX($E13:Q13)</f>
        <v>4.2736500000000101E-2</v>
      </c>
      <c r="R36">
        <f>MAX($E13:R13)</f>
        <v>4.2736500000000101E-2</v>
      </c>
      <c r="S36">
        <f>MAX($E13:S13)</f>
        <v>4.2736500000000101E-2</v>
      </c>
      <c r="T36">
        <f>MAX($E13:T13)</f>
        <v>0.17675000000000099</v>
      </c>
      <c r="U36">
        <f>MAX($E13:U13)</f>
        <v>0.19012000000000001</v>
      </c>
      <c r="V36">
        <f>MAX($E13:V13)</f>
        <v>0.20197000000000001</v>
      </c>
      <c r="W36">
        <f>MAX($E13:W13)</f>
        <v>0.40952250000000001</v>
      </c>
      <c r="X36">
        <f>MAX($E13:X13)</f>
        <v>0.40952250000000001</v>
      </c>
      <c r="Y36">
        <f>MAX($E13:Y13)</f>
        <v>0.40952250000000001</v>
      </c>
      <c r="Z36">
        <f>MAX($E13:Z13)</f>
        <v>0.57089500000000004</v>
      </c>
      <c r="AA36">
        <f>MAX($E13:AA13)</f>
        <v>0.70681749999999999</v>
      </c>
      <c r="AB36">
        <f>MAX($E13:AB13)</f>
        <v>0.72127000000000097</v>
      </c>
      <c r="AC36">
        <f>MAX($E13:AC13)</f>
        <v>0.74605250000000001</v>
      </c>
      <c r="AD36">
        <f>MAX($E13:AD13)</f>
        <v>0.89562750000000002</v>
      </c>
      <c r="AE36">
        <f>MAX($E13:AE13)</f>
        <v>0.89726499999999998</v>
      </c>
      <c r="AF36">
        <f>MAX($E13:AF13)</f>
        <v>0.89726499999999998</v>
      </c>
      <c r="AG36">
        <f>MAX($E13:AG13)</f>
        <v>0.92959000000000003</v>
      </c>
      <c r="AH36">
        <f>MAX($E13:AH13)</f>
        <v>0.9999825</v>
      </c>
      <c r="AI36">
        <f>MAX($E13:AI13)</f>
        <v>0.9999825</v>
      </c>
      <c r="AJ36">
        <f>MAX($E13:AJ13)</f>
        <v>0.9999825</v>
      </c>
      <c r="AK36">
        <f>MAX($E13:AK13)</f>
        <v>1.0209649999999999</v>
      </c>
      <c r="AL36">
        <f>MAX($E13:AL13)</f>
        <v>1.023245</v>
      </c>
      <c r="AM36">
        <f>MAX($E13:AM13)</f>
        <v>1.167775</v>
      </c>
      <c r="AN36">
        <f>MAX($E13:AN13)</f>
        <v>1.167775</v>
      </c>
      <c r="AO36">
        <f>MAX($E13:AO13)</f>
        <v>1.1872925000000001</v>
      </c>
      <c r="AP36">
        <f>MAX($E13:AP13)</f>
        <v>1.2463850000000001</v>
      </c>
      <c r="AQ36">
        <f>MAX($E13:AQ13)</f>
        <v>1.2463850000000001</v>
      </c>
      <c r="AR36">
        <f>MAX($E13:AR13)</f>
        <v>1.2463850000000001</v>
      </c>
      <c r="AS36">
        <f>MAX($E13:AS13)</f>
        <v>1.2463850000000001</v>
      </c>
      <c r="AT36">
        <f>MAX($E13:AT13)</f>
        <v>1.2463850000000001</v>
      </c>
      <c r="AU36">
        <f>MAX($E13:AU13)</f>
        <v>1.2463850000000001</v>
      </c>
      <c r="AV36">
        <f>MAX($E13:AV13)</f>
        <v>1.2463850000000001</v>
      </c>
      <c r="AW36">
        <f>MAX($E13:AW13)</f>
        <v>1.2463850000000001</v>
      </c>
      <c r="AX36">
        <f>MAX($E13:AX13)</f>
        <v>1.2636849999999999</v>
      </c>
      <c r="AY36">
        <f>MAX($E13:AY13)</f>
        <v>1.3114975</v>
      </c>
      <c r="AZ36">
        <f>MAX($E13:AZ13)</f>
        <v>1.3114975</v>
      </c>
      <c r="BA36">
        <f>MAX($E13:BA13)</f>
        <v>1.3833500000000001</v>
      </c>
      <c r="BB36">
        <f>MAX($E13:BB13)</f>
        <v>1.3833500000000001</v>
      </c>
      <c r="BC36">
        <f>MAX($E13:BC13)</f>
        <v>1.3833500000000001</v>
      </c>
      <c r="BD36">
        <f>MAX($E13:BD13)</f>
        <v>1.3833500000000001</v>
      </c>
      <c r="BE36">
        <f>MAX($E13:BE13)</f>
        <v>1.47278</v>
      </c>
      <c r="BF36">
        <f>MAX($E13:BF13)</f>
        <v>1.47278</v>
      </c>
      <c r="BG36">
        <f>MAX($E13:BG13)</f>
        <v>1.47278</v>
      </c>
      <c r="BH36">
        <f>MAX($E13:BH13)</f>
        <v>1.47278</v>
      </c>
      <c r="BI36">
        <f>MAX($E13:BI13)</f>
        <v>1.4734075</v>
      </c>
      <c r="BJ36">
        <f>MAX($E13:BJ13)</f>
        <v>1.4734075</v>
      </c>
      <c r="BK36">
        <f>MAX($E13:BK13)</f>
        <v>1.52102</v>
      </c>
      <c r="BL36">
        <f>MAX($E13:BL13)</f>
        <v>1.52102</v>
      </c>
      <c r="BM36">
        <f>MAX($E13:BM13)</f>
        <v>1.52102</v>
      </c>
      <c r="BN36">
        <f>MAX($E13:BN13)</f>
        <v>1.52102</v>
      </c>
      <c r="BO36">
        <f>MAX($E13:BO13)</f>
        <v>1.5409425000000001</v>
      </c>
      <c r="BP36">
        <f>MAX($E13:BP13)</f>
        <v>1.5409425000000001</v>
      </c>
      <c r="BQ36">
        <f>MAX($E13:BQ13)</f>
        <v>1.5409425000000001</v>
      </c>
      <c r="BR36">
        <f>MAX($E13:BR13)</f>
        <v>1.5685275000000001</v>
      </c>
      <c r="BS36">
        <f>MAX($E13:BS13)</f>
        <v>1.5686549999999999</v>
      </c>
      <c r="BT36">
        <f>MAX($E13:BT13)</f>
        <v>1.5686549999999999</v>
      </c>
      <c r="BU36">
        <f>MAX($E13:BU13)</f>
        <v>1.6511150000000001</v>
      </c>
      <c r="BV36">
        <f>MAX($E13:BV13)</f>
        <v>1.6511150000000001</v>
      </c>
      <c r="BW36">
        <f>MAX($E13:BW13)</f>
        <v>1.6511150000000001</v>
      </c>
      <c r="BX36">
        <f>MAX($E13:BX13)</f>
        <v>1.6511150000000001</v>
      </c>
      <c r="BY36">
        <f>MAX($E13:BY13)</f>
        <v>1.6511150000000001</v>
      </c>
      <c r="BZ36">
        <f>MAX($E13:BZ13)</f>
        <v>1.6738975</v>
      </c>
      <c r="CA36">
        <f>MAX($E13:CA13)</f>
        <v>1.67957</v>
      </c>
      <c r="CB36">
        <f>MAX($E13:CB13)</f>
        <v>1.67957</v>
      </c>
      <c r="CC36">
        <f>MAX($E13:CC13)</f>
        <v>1.67957</v>
      </c>
      <c r="CD36">
        <f>MAX($E13:CD13)</f>
        <v>1.67957</v>
      </c>
      <c r="CE36">
        <f>MAX($E13:CE13)</f>
        <v>1.67957</v>
      </c>
      <c r="CF36">
        <f>MAX($E13:CF13)</f>
        <v>1.67957</v>
      </c>
      <c r="CG36">
        <f>MAX($E13:CG13)</f>
        <v>1.67957</v>
      </c>
      <c r="CH36">
        <f>MAX($E13:CH13)</f>
        <v>1.6797299999999999</v>
      </c>
      <c r="CI36">
        <f>MAX($E13:CI13)</f>
        <v>1.6797299999999999</v>
      </c>
      <c r="CJ36">
        <f>MAX($E13:CJ13)</f>
        <v>1.6969050000000001</v>
      </c>
      <c r="CK36">
        <f>MAX($E13:CK13)</f>
        <v>1.6969050000000001</v>
      </c>
      <c r="CL36">
        <f>MAX($E13:CL13)</f>
        <v>1.7043900000000001</v>
      </c>
      <c r="CM36">
        <f>MAX($E13:CM13)</f>
        <v>1.7043900000000001</v>
      </c>
      <c r="CN36">
        <f>MAX($E13:CN13)</f>
        <v>1.7043900000000001</v>
      </c>
      <c r="CO36">
        <f>MAX($E13:CO13)</f>
        <v>1.7788349999999999</v>
      </c>
      <c r="CP36">
        <f>MAX($E13:CP13)</f>
        <v>1.8229074999999999</v>
      </c>
      <c r="CQ36">
        <f>MAX($E13:CQ13)</f>
        <v>1.8229074999999999</v>
      </c>
    </row>
    <row r="37" spans="1:96" x14ac:dyDescent="0.25">
      <c r="A37">
        <f t="shared" ref="A37:C37" si="17">A14</f>
        <v>2.4981777435363202</v>
      </c>
      <c r="B37">
        <f t="shared" si="17"/>
        <v>2.8928898270150585</v>
      </c>
      <c r="C37">
        <f t="shared" si="17"/>
        <v>0.40029177370879948</v>
      </c>
      <c r="E37">
        <f>MAX($E14:E14)</f>
        <v>0</v>
      </c>
      <c r="F37">
        <f>MAX($E14:F14)</f>
        <v>3.91805E-2</v>
      </c>
      <c r="G37">
        <f>MAX($E14:G14)</f>
        <v>3.91805E-2</v>
      </c>
      <c r="H37">
        <f>MAX($E14:H14)</f>
        <v>3.91805E-2</v>
      </c>
      <c r="I37">
        <f>MAX($E14:I14)</f>
        <v>3.91805E-2</v>
      </c>
      <c r="J37">
        <f>MAX($E14:J14)</f>
        <v>3.91805E-2</v>
      </c>
      <c r="K37">
        <f>MAX($E14:K14)</f>
        <v>3.91805E-2</v>
      </c>
      <c r="L37">
        <f>MAX($E14:L14)</f>
        <v>3.91805E-2</v>
      </c>
      <c r="M37">
        <f>MAX($E14:M14)</f>
        <v>3.91805E-2</v>
      </c>
      <c r="N37">
        <f>MAX($E14:N14)</f>
        <v>3.91805E-2</v>
      </c>
      <c r="O37">
        <f>MAX($E14:O14)</f>
        <v>3.91805E-2</v>
      </c>
      <c r="P37">
        <f>MAX($E14:P14)</f>
        <v>3.91805E-2</v>
      </c>
      <c r="Q37">
        <f>MAX($E14:Q14)</f>
        <v>3.91805E-2</v>
      </c>
      <c r="R37">
        <f>MAX($E14:R14)</f>
        <v>3.91805E-2</v>
      </c>
      <c r="S37">
        <f>MAX($E14:S14)</f>
        <v>3.91805E-2</v>
      </c>
      <c r="T37">
        <f>MAX($E14:T14)</f>
        <v>0.1153925</v>
      </c>
      <c r="U37">
        <f>MAX($E14:U14)</f>
        <v>0.12538250000000001</v>
      </c>
      <c r="V37">
        <f>MAX($E14:V14)</f>
        <v>0.13493749999999999</v>
      </c>
      <c r="W37">
        <f>MAX($E14:W14)</f>
        <v>0.29158499999999998</v>
      </c>
      <c r="X37">
        <f>MAX($E14:X14)</f>
        <v>0.29158499999999998</v>
      </c>
      <c r="Y37">
        <f>MAX($E14:Y14)</f>
        <v>0.29158499999999998</v>
      </c>
      <c r="Z37">
        <f>MAX($E14:Z14)</f>
        <v>0.43982500000000002</v>
      </c>
      <c r="AA37">
        <f>MAX($E14:AA14)</f>
        <v>0.56227250000000095</v>
      </c>
      <c r="AB37">
        <f>MAX($E14:AB14)</f>
        <v>0.56974749999999996</v>
      </c>
      <c r="AC37">
        <f>MAX($E14:AC14)</f>
        <v>0.59967499999999996</v>
      </c>
      <c r="AD37">
        <f>MAX($E14:AD14)</f>
        <v>0.77155249999999997</v>
      </c>
      <c r="AE37">
        <f>MAX($E14:AE14)</f>
        <v>0.77242250000000001</v>
      </c>
      <c r="AF37">
        <f>MAX($E14:AF14)</f>
        <v>0.77242250000000001</v>
      </c>
      <c r="AG37">
        <f>MAX($E14:AG14)</f>
        <v>0.79552</v>
      </c>
      <c r="AH37">
        <f>MAX($E14:AH14)</f>
        <v>0.86760749999999998</v>
      </c>
      <c r="AI37">
        <f>MAX($E14:AI14)</f>
        <v>0.86760749999999998</v>
      </c>
      <c r="AJ37">
        <f>MAX($E14:AJ14)</f>
        <v>0.86760749999999998</v>
      </c>
      <c r="AK37">
        <f>MAX($E14:AK14)</f>
        <v>0.86760749999999998</v>
      </c>
      <c r="AL37">
        <f>MAX($E14:AL14)</f>
        <v>0.86760749999999998</v>
      </c>
      <c r="AM37">
        <f>MAX($E14:AM14)</f>
        <v>0.98745249999999996</v>
      </c>
      <c r="AN37">
        <f>MAX($E14:AN14)</f>
        <v>0.98745249999999996</v>
      </c>
      <c r="AO37">
        <f>MAX($E14:AO14)</f>
        <v>1.0055449999999999</v>
      </c>
      <c r="AP37">
        <f>MAX($E14:AP14)</f>
        <v>1.0454675</v>
      </c>
      <c r="AQ37">
        <f>MAX($E14:AQ14)</f>
        <v>1.0454675</v>
      </c>
      <c r="AR37">
        <f>MAX($E14:AR14)</f>
        <v>1.0454675</v>
      </c>
      <c r="AS37">
        <f>MAX($E14:AS14)</f>
        <v>1.0454675</v>
      </c>
      <c r="AT37">
        <f>MAX($E14:AT14)</f>
        <v>1.0454675</v>
      </c>
      <c r="AU37">
        <f>MAX($E14:AU14)</f>
        <v>1.0454675</v>
      </c>
      <c r="AV37">
        <f>MAX($E14:AV14)</f>
        <v>1.0454675</v>
      </c>
      <c r="AW37">
        <f>MAX($E14:AW14)</f>
        <v>1.0454675</v>
      </c>
      <c r="AX37">
        <f>MAX($E14:AX14)</f>
        <v>1.0654725</v>
      </c>
      <c r="AY37">
        <f>MAX($E14:AY14)</f>
        <v>1.1112225</v>
      </c>
      <c r="AZ37">
        <f>MAX($E14:AZ14)</f>
        <v>1.1112225</v>
      </c>
      <c r="BA37">
        <f>MAX($E14:BA14)</f>
        <v>1.1799875</v>
      </c>
      <c r="BB37">
        <f>MAX($E14:BB14)</f>
        <v>1.1799875</v>
      </c>
      <c r="BC37">
        <f>MAX($E14:BC14)</f>
        <v>1.1799875</v>
      </c>
      <c r="BD37">
        <f>MAX($E14:BD14)</f>
        <v>1.1799875</v>
      </c>
      <c r="BE37">
        <f>MAX($E14:BE14)</f>
        <v>1.2588625</v>
      </c>
      <c r="BF37">
        <f>MAX($E14:BF14)</f>
        <v>1.2588625</v>
      </c>
      <c r="BG37">
        <f>MAX($E14:BG14)</f>
        <v>1.2588625</v>
      </c>
      <c r="BH37">
        <f>MAX($E14:BH14)</f>
        <v>1.2588625</v>
      </c>
      <c r="BI37">
        <f>MAX($E14:BI14)</f>
        <v>1.2588625</v>
      </c>
      <c r="BJ37">
        <f>MAX($E14:BJ14)</f>
        <v>1.2588625</v>
      </c>
      <c r="BK37">
        <f>MAX($E14:BK14)</f>
        <v>1.3105599999999999</v>
      </c>
      <c r="BL37">
        <f>MAX($E14:BL14)</f>
        <v>1.3105599999999999</v>
      </c>
      <c r="BM37">
        <f>MAX($E14:BM14)</f>
        <v>1.3105599999999999</v>
      </c>
      <c r="BN37">
        <f>MAX($E14:BN14)</f>
        <v>1.3105599999999999</v>
      </c>
      <c r="BO37">
        <f>MAX($E14:BO14)</f>
        <v>1.32073</v>
      </c>
      <c r="BP37">
        <f>MAX($E14:BP14)</f>
        <v>1.32073</v>
      </c>
      <c r="BQ37">
        <f>MAX($E14:BQ14)</f>
        <v>1.32073</v>
      </c>
      <c r="BR37">
        <f>MAX($E14:BR14)</f>
        <v>1.3504475</v>
      </c>
      <c r="BS37">
        <f>MAX($E14:BS14)</f>
        <v>1.3504475</v>
      </c>
      <c r="BT37">
        <f>MAX($E14:BT14)</f>
        <v>1.3504475</v>
      </c>
      <c r="BU37">
        <f>MAX($E14:BU14)</f>
        <v>1.4342874999999999</v>
      </c>
      <c r="BV37">
        <f>MAX($E14:BV14)</f>
        <v>1.4342874999999999</v>
      </c>
      <c r="BW37">
        <f>MAX($E14:BW14)</f>
        <v>1.4342874999999999</v>
      </c>
      <c r="BX37">
        <f>MAX($E14:BX14)</f>
        <v>1.4342874999999999</v>
      </c>
      <c r="BY37">
        <f>MAX($E14:BY14)</f>
        <v>1.4342874999999999</v>
      </c>
      <c r="BZ37">
        <f>MAX($E14:BZ14)</f>
        <v>1.46041</v>
      </c>
      <c r="CA37">
        <f>MAX($E14:CA14)</f>
        <v>1.4703174999999999</v>
      </c>
      <c r="CB37">
        <f>MAX($E14:CB14)</f>
        <v>1.4703174999999999</v>
      </c>
      <c r="CC37">
        <f>MAX($E14:CC14)</f>
        <v>1.4703174999999999</v>
      </c>
      <c r="CD37">
        <f>MAX($E14:CD14)</f>
        <v>1.4703174999999999</v>
      </c>
      <c r="CE37">
        <f>MAX($E14:CE14)</f>
        <v>1.4703174999999999</v>
      </c>
      <c r="CF37">
        <f>MAX($E14:CF14)</f>
        <v>1.4703174999999999</v>
      </c>
      <c r="CG37">
        <f>MAX($E14:CG14)</f>
        <v>1.4703174999999999</v>
      </c>
      <c r="CH37">
        <f>MAX($E14:CH14)</f>
        <v>1.4703174999999999</v>
      </c>
      <c r="CI37">
        <f>MAX($E14:CI14)</f>
        <v>1.4703174999999999</v>
      </c>
      <c r="CJ37">
        <f>MAX($E14:CJ14)</f>
        <v>1.48265</v>
      </c>
      <c r="CK37">
        <f>MAX($E14:CK14)</f>
        <v>1.48265</v>
      </c>
      <c r="CL37">
        <f>MAX($E14:CL14)</f>
        <v>1.4902424999999999</v>
      </c>
      <c r="CM37">
        <f>MAX($E14:CM14)</f>
        <v>1.4902424999999999</v>
      </c>
      <c r="CN37">
        <f>MAX($E14:CN14)</f>
        <v>1.4902424999999999</v>
      </c>
      <c r="CO37">
        <f>MAX($E14:CO14)</f>
        <v>1.5629150000000001</v>
      </c>
      <c r="CP37">
        <f>MAX($E14:CP14)</f>
        <v>1.61093</v>
      </c>
      <c r="CQ37">
        <f>MAX($E14:CQ14)</f>
        <v>1.61093</v>
      </c>
    </row>
    <row r="38" spans="1:96" x14ac:dyDescent="0.25">
      <c r="A38">
        <f t="shared" ref="A38:C38" si="18">A15</f>
        <v>2.4118219576986601</v>
      </c>
      <c r="B38">
        <f t="shared" si="18"/>
        <v>2.7928898270150482</v>
      </c>
      <c r="C38">
        <f t="shared" si="18"/>
        <v>0.41462430375838832</v>
      </c>
      <c r="E38">
        <f>MAX($E15:E15)</f>
        <v>0</v>
      </c>
      <c r="F38">
        <f>MAX($E15:F15)</f>
        <v>4.0036250000000002E-2</v>
      </c>
      <c r="G38">
        <f>MAX($E15:G15)</f>
        <v>4.0036250000000002E-2</v>
      </c>
      <c r="H38">
        <f>MAX($E15:H15)</f>
        <v>4.0036250000000002E-2</v>
      </c>
      <c r="I38">
        <f>MAX($E15:I15)</f>
        <v>4.0036250000000002E-2</v>
      </c>
      <c r="J38">
        <f>MAX($E15:J15)</f>
        <v>4.0036250000000002E-2</v>
      </c>
      <c r="K38">
        <f>MAX($E15:K15)</f>
        <v>4.0036250000000002E-2</v>
      </c>
      <c r="L38">
        <f>MAX($E15:L15)</f>
        <v>4.0036250000000002E-2</v>
      </c>
      <c r="M38">
        <f>MAX($E15:M15)</f>
        <v>4.0036250000000002E-2</v>
      </c>
      <c r="N38">
        <f>MAX($E15:N15)</f>
        <v>4.0036250000000002E-2</v>
      </c>
      <c r="O38">
        <f>MAX($E15:O15)</f>
        <v>4.0036250000000002E-2</v>
      </c>
      <c r="P38">
        <f>MAX($E15:P15)</f>
        <v>4.0036250000000002E-2</v>
      </c>
      <c r="Q38">
        <f>MAX($E15:Q15)</f>
        <v>4.0036250000000002E-2</v>
      </c>
      <c r="R38">
        <f>MAX($E15:R15)</f>
        <v>4.0036250000000002E-2</v>
      </c>
      <c r="S38">
        <f>MAX($E15:S15)</f>
        <v>4.0036250000000002E-2</v>
      </c>
      <c r="T38">
        <f>MAX($E15:T15)</f>
        <v>4.0036250000000002E-2</v>
      </c>
      <c r="U38">
        <f>MAX($E15:U15)</f>
        <v>4.0036250000000002E-2</v>
      </c>
      <c r="V38">
        <f>MAX($E15:V15)</f>
        <v>4.0036250000000002E-2</v>
      </c>
      <c r="W38">
        <f>MAX($E15:W15)</f>
        <v>0.14654249999999999</v>
      </c>
      <c r="X38">
        <f>MAX($E15:X15)</f>
        <v>0.14755750000000001</v>
      </c>
      <c r="Y38">
        <f>MAX($E15:Y15)</f>
        <v>0.14755750000000001</v>
      </c>
      <c r="Z38">
        <f>MAX($E15:Z15)</f>
        <v>0.29894500000000002</v>
      </c>
      <c r="AA38">
        <f>MAX($E15:AA15)</f>
        <v>0.42490749999999999</v>
      </c>
      <c r="AB38">
        <f>MAX($E15:AB15)</f>
        <v>0.43030499999999999</v>
      </c>
      <c r="AC38">
        <f>MAX($E15:AC15)</f>
        <v>0.46619250000000001</v>
      </c>
      <c r="AD38">
        <f>MAX($E15:AD15)</f>
        <v>0.68820250000000005</v>
      </c>
      <c r="AE38">
        <f>MAX($E15:AE15)</f>
        <v>0.69040000000000001</v>
      </c>
      <c r="AF38">
        <f>MAX($E15:AF15)</f>
        <v>0.69040000000000001</v>
      </c>
      <c r="AG38">
        <f>MAX($E15:AG15)</f>
        <v>0.75412000000000001</v>
      </c>
      <c r="AH38">
        <f>MAX($E15:AH15)</f>
        <v>0.82920249999999995</v>
      </c>
      <c r="AI38">
        <f>MAX($E15:AI15)</f>
        <v>0.82920249999999995</v>
      </c>
      <c r="AJ38">
        <f>MAX($E15:AJ15)</f>
        <v>0.82920249999999995</v>
      </c>
      <c r="AK38">
        <f>MAX($E15:AK15)</f>
        <v>0.82920249999999995</v>
      </c>
      <c r="AL38">
        <f>MAX($E15:AL15)</f>
        <v>0.82920249999999995</v>
      </c>
      <c r="AM38">
        <f>MAX($E15:AM15)</f>
        <v>0.95518249999999905</v>
      </c>
      <c r="AN38">
        <f>MAX($E15:AN15)</f>
        <v>0.95518249999999905</v>
      </c>
      <c r="AO38">
        <f>MAX($E15:AO15)</f>
        <v>0.97653749999999895</v>
      </c>
      <c r="AP38">
        <f>MAX($E15:AP15)</f>
        <v>1.0158</v>
      </c>
      <c r="AQ38">
        <f>MAX($E15:AQ15)</f>
        <v>1.0158</v>
      </c>
      <c r="AR38">
        <f>MAX($E15:AR15)</f>
        <v>1.0158</v>
      </c>
      <c r="AS38">
        <f>MAX($E15:AS15)</f>
        <v>1.0158</v>
      </c>
      <c r="AT38">
        <f>MAX($E15:AT15)</f>
        <v>1.0158</v>
      </c>
      <c r="AU38">
        <f>MAX($E15:AU15)</f>
        <v>1.0158</v>
      </c>
      <c r="AV38">
        <f>MAX($E15:AV15)</f>
        <v>1.0158</v>
      </c>
      <c r="AW38">
        <f>MAX($E15:AW15)</f>
        <v>1.0158</v>
      </c>
      <c r="AX38">
        <f>MAX($E15:AX15)</f>
        <v>1.0389875</v>
      </c>
      <c r="AY38">
        <f>MAX($E15:AY15)</f>
        <v>1.084425</v>
      </c>
      <c r="AZ38">
        <f>MAX($E15:AZ15)</f>
        <v>1.084425</v>
      </c>
      <c r="BA38">
        <f>MAX($E15:BA15)</f>
        <v>1.1500824999999999</v>
      </c>
      <c r="BB38">
        <f>MAX($E15:BB15)</f>
        <v>1.1500824999999999</v>
      </c>
      <c r="BC38">
        <f>MAX($E15:BC15)</f>
        <v>1.1500824999999999</v>
      </c>
      <c r="BD38">
        <f>MAX($E15:BD15)</f>
        <v>1.1500824999999999</v>
      </c>
      <c r="BE38">
        <f>MAX($E15:BE15)</f>
        <v>1.2352675</v>
      </c>
      <c r="BF38">
        <f>MAX($E15:BF15)</f>
        <v>1.2352675</v>
      </c>
      <c r="BG38">
        <f>MAX($E15:BG15)</f>
        <v>1.2352675</v>
      </c>
      <c r="BH38">
        <f>MAX($E15:BH15)</f>
        <v>1.2352675</v>
      </c>
      <c r="BI38">
        <f>MAX($E15:BI15)</f>
        <v>1.2352675</v>
      </c>
      <c r="BJ38">
        <f>MAX($E15:BJ15)</f>
        <v>1.2352675</v>
      </c>
      <c r="BK38">
        <f>MAX($E15:BK15)</f>
        <v>1.2896924999999999</v>
      </c>
      <c r="BL38">
        <f>MAX($E15:BL15)</f>
        <v>1.2896924999999999</v>
      </c>
      <c r="BM38">
        <f>MAX($E15:BM15)</f>
        <v>1.2896924999999999</v>
      </c>
      <c r="BN38">
        <f>MAX($E15:BN15)</f>
        <v>1.2896924999999999</v>
      </c>
      <c r="BO38">
        <f>MAX($E15:BO15)</f>
        <v>1.2970075000000001</v>
      </c>
      <c r="BP38">
        <f>MAX($E15:BP15)</f>
        <v>1.2970075000000001</v>
      </c>
      <c r="BQ38">
        <f>MAX($E15:BQ15)</f>
        <v>1.2970075000000001</v>
      </c>
      <c r="BR38">
        <f>MAX($E15:BR15)</f>
        <v>1.3283225000000001</v>
      </c>
      <c r="BS38">
        <f>MAX($E15:BS15)</f>
        <v>1.3300725</v>
      </c>
      <c r="BT38">
        <f>MAX($E15:BT15)</f>
        <v>1.3300725</v>
      </c>
      <c r="BU38">
        <f>MAX($E15:BU15)</f>
        <v>1.4150475</v>
      </c>
      <c r="BV38">
        <f>MAX($E15:BV15)</f>
        <v>1.4150475</v>
      </c>
      <c r="BW38">
        <f>MAX($E15:BW15)</f>
        <v>1.4150475</v>
      </c>
      <c r="BX38">
        <f>MAX($E15:BX15)</f>
        <v>1.4150475</v>
      </c>
      <c r="BY38">
        <f>MAX($E15:BY15)</f>
        <v>1.4150475</v>
      </c>
      <c r="BZ38">
        <f>MAX($E15:BZ15)</f>
        <v>1.4480375000000001</v>
      </c>
      <c r="CA38">
        <f>MAX($E15:CA15)</f>
        <v>1.4590425</v>
      </c>
      <c r="CB38">
        <f>MAX($E15:CB15)</f>
        <v>1.4590425</v>
      </c>
      <c r="CC38">
        <f>MAX($E15:CC15)</f>
        <v>1.4590425</v>
      </c>
      <c r="CD38">
        <f>MAX($E15:CD15)</f>
        <v>1.4590425</v>
      </c>
      <c r="CE38">
        <f>MAX($E15:CE15)</f>
        <v>1.4590425</v>
      </c>
      <c r="CF38">
        <f>MAX($E15:CF15)</f>
        <v>1.4590425</v>
      </c>
      <c r="CG38">
        <f>MAX($E15:CG15)</f>
        <v>1.4590425</v>
      </c>
      <c r="CH38">
        <f>MAX($E15:CH15)</f>
        <v>1.4596175</v>
      </c>
      <c r="CI38">
        <f>MAX($E15:CI15)</f>
        <v>1.460645</v>
      </c>
      <c r="CJ38">
        <f>MAX($E15:CJ15)</f>
        <v>1.4746349999999999</v>
      </c>
      <c r="CK38">
        <f>MAX($E15:CK15)</f>
        <v>1.4746349999999999</v>
      </c>
      <c r="CL38">
        <f>MAX($E15:CL15)</f>
        <v>1.4870874999999999</v>
      </c>
      <c r="CM38">
        <f>MAX($E15:CM15)</f>
        <v>1.4870874999999999</v>
      </c>
      <c r="CN38">
        <f>MAX($E15:CN15)</f>
        <v>1.4870874999999999</v>
      </c>
      <c r="CO38">
        <f>MAX($E15:CO15)</f>
        <v>1.5624324999999999</v>
      </c>
      <c r="CP38">
        <f>MAX($E15:CP15)</f>
        <v>1.6114525</v>
      </c>
      <c r="CQ38">
        <f>MAX($E15:CQ15)</f>
        <v>1.6114525</v>
      </c>
    </row>
    <row r="39" spans="1:96" x14ac:dyDescent="0.25">
      <c r="A39">
        <f t="shared" ref="A39:C39" si="19">A16</f>
        <v>2.3254661718610099</v>
      </c>
      <c r="B39">
        <f t="shared" si="19"/>
        <v>2.6928898270150494</v>
      </c>
      <c r="C39">
        <f t="shared" si="19"/>
        <v>0.43002130587852244</v>
      </c>
      <c r="E39">
        <f>MAX($E16:E16)</f>
        <v>0</v>
      </c>
      <c r="F39">
        <f>MAX($E16:F16)</f>
        <v>3.2899499999999998E-2</v>
      </c>
      <c r="G39">
        <f>MAX($E16:G16)</f>
        <v>3.30632500000001E-2</v>
      </c>
      <c r="H39">
        <f>MAX($E16:H16)</f>
        <v>3.30632500000001E-2</v>
      </c>
      <c r="I39">
        <f>MAX($E16:I16)</f>
        <v>3.30632500000001E-2</v>
      </c>
      <c r="J39">
        <f>MAX($E16:J16)</f>
        <v>3.30632500000001E-2</v>
      </c>
      <c r="K39">
        <f>MAX($E16:K16)</f>
        <v>3.30632500000001E-2</v>
      </c>
      <c r="L39">
        <f>MAX($E16:L16)</f>
        <v>3.30632500000001E-2</v>
      </c>
      <c r="M39">
        <f>MAX($E16:M16)</f>
        <v>3.30632500000001E-2</v>
      </c>
      <c r="N39">
        <f>MAX($E16:N16)</f>
        <v>3.30632500000001E-2</v>
      </c>
      <c r="O39">
        <f>MAX($E16:O16)</f>
        <v>3.30632500000001E-2</v>
      </c>
      <c r="P39">
        <f>MAX($E16:P16)</f>
        <v>3.30632500000001E-2</v>
      </c>
      <c r="Q39">
        <f>MAX($E16:Q16)</f>
        <v>3.30632500000001E-2</v>
      </c>
      <c r="R39">
        <f>MAX($E16:R16)</f>
        <v>3.30632500000001E-2</v>
      </c>
      <c r="S39">
        <f>MAX($E16:S16)</f>
        <v>3.30632500000001E-2</v>
      </c>
      <c r="T39">
        <f>MAX($E16:T16)</f>
        <v>3.30632500000001E-2</v>
      </c>
      <c r="U39">
        <f>MAX($E16:U16)</f>
        <v>3.30632500000001E-2</v>
      </c>
      <c r="V39">
        <f>MAX($E16:V16)</f>
        <v>3.30632500000001E-2</v>
      </c>
      <c r="W39">
        <f>MAX($E16:W16)</f>
        <v>0.10313</v>
      </c>
      <c r="X39">
        <f>MAX($E16:X16)</f>
        <v>0.10464</v>
      </c>
      <c r="Y39">
        <f>MAX($E16:Y16)</f>
        <v>0.10464</v>
      </c>
      <c r="Z39">
        <f>MAX($E16:Z16)</f>
        <v>0.22667499999999999</v>
      </c>
      <c r="AA39">
        <f>MAX($E16:AA16)</f>
        <v>0.31816749999999999</v>
      </c>
      <c r="AB39">
        <f>MAX($E16:AB16)</f>
        <v>0.3218625</v>
      </c>
      <c r="AC39">
        <f>MAX($E16:AC16)</f>
        <v>0.3589175</v>
      </c>
      <c r="AD39">
        <f>MAX($E16:AD16)</f>
        <v>0.60897000000000001</v>
      </c>
      <c r="AE39">
        <f>MAX($E16:AE16)</f>
        <v>0.61266750000000103</v>
      </c>
      <c r="AF39">
        <f>MAX($E16:AF16)</f>
        <v>0.61266750000000103</v>
      </c>
      <c r="AG39">
        <f>MAX($E16:AG16)</f>
        <v>0.73596499999999998</v>
      </c>
      <c r="AH39">
        <f>MAX($E16:AH16)</f>
        <v>0.81393749999999998</v>
      </c>
      <c r="AI39">
        <f>MAX($E16:AI16)</f>
        <v>0.81393749999999998</v>
      </c>
      <c r="AJ39">
        <f>MAX($E16:AJ16)</f>
        <v>0.81393749999999998</v>
      </c>
      <c r="AK39">
        <f>MAX($E16:AK16)</f>
        <v>0.81393749999999998</v>
      </c>
      <c r="AL39">
        <f>MAX($E16:AL16)</f>
        <v>0.81624750000000001</v>
      </c>
      <c r="AM39">
        <f>MAX($E16:AM16)</f>
        <v>0.95486000000000104</v>
      </c>
      <c r="AN39">
        <f>MAX($E16:AN16)</f>
        <v>0.95486000000000104</v>
      </c>
      <c r="AO39">
        <f>MAX($E16:AO16)</f>
        <v>0.97472749999999897</v>
      </c>
      <c r="AP39">
        <f>MAX($E16:AP16)</f>
        <v>1.0030725</v>
      </c>
      <c r="AQ39">
        <f>MAX($E16:AQ16)</f>
        <v>1.0030725</v>
      </c>
      <c r="AR39">
        <f>MAX($E16:AR16)</f>
        <v>1.0030725</v>
      </c>
      <c r="AS39">
        <f>MAX($E16:AS16)</f>
        <v>1.0030725</v>
      </c>
      <c r="AT39">
        <f>MAX($E16:AT16)</f>
        <v>1.0030725</v>
      </c>
      <c r="AU39">
        <f>MAX($E16:AU16)</f>
        <v>1.0030725</v>
      </c>
      <c r="AV39">
        <f>MAX($E16:AV16)</f>
        <v>1.0030725</v>
      </c>
      <c r="AW39">
        <f>MAX($E16:AW16)</f>
        <v>1.0030725</v>
      </c>
      <c r="AX39">
        <f>MAX($E16:AX16)</f>
        <v>1.01895</v>
      </c>
      <c r="AY39">
        <f>MAX($E16:AY16)</f>
        <v>1.0654075000000001</v>
      </c>
      <c r="AZ39">
        <f>MAX($E16:AZ16)</f>
        <v>1.0654075000000001</v>
      </c>
      <c r="BA39">
        <f>MAX($E16:BA16)</f>
        <v>1.1269775</v>
      </c>
      <c r="BB39">
        <f>MAX($E16:BB16)</f>
        <v>1.1269775</v>
      </c>
      <c r="BC39">
        <f>MAX($E16:BC16)</f>
        <v>1.1269775</v>
      </c>
      <c r="BD39">
        <f>MAX($E16:BD16)</f>
        <v>1.1269775</v>
      </c>
      <c r="BE39">
        <f>MAX($E16:BE16)</f>
        <v>1.2002349999999999</v>
      </c>
      <c r="BF39">
        <f>MAX($E16:BF16)</f>
        <v>1.2002349999999999</v>
      </c>
      <c r="BG39">
        <f>MAX($E16:BG16)</f>
        <v>1.2002349999999999</v>
      </c>
      <c r="BH39">
        <f>MAX($E16:BH16)</f>
        <v>1.2002349999999999</v>
      </c>
      <c r="BI39">
        <f>MAX($E16:BI16)</f>
        <v>1.2002349999999999</v>
      </c>
      <c r="BJ39">
        <f>MAX($E16:BJ16)</f>
        <v>1.2002349999999999</v>
      </c>
      <c r="BK39">
        <f>MAX($E16:BK16)</f>
        <v>1.2532775</v>
      </c>
      <c r="BL39">
        <f>MAX($E16:BL16)</f>
        <v>1.2532775</v>
      </c>
      <c r="BM39">
        <f>MAX($E16:BM16)</f>
        <v>1.2532775</v>
      </c>
      <c r="BN39">
        <f>MAX($E16:BN16)</f>
        <v>1.2532775</v>
      </c>
      <c r="BO39">
        <f>MAX($E16:BO16)</f>
        <v>1.2532775</v>
      </c>
      <c r="BP39">
        <f>MAX($E16:BP16)</f>
        <v>1.2532775</v>
      </c>
      <c r="BQ39">
        <f>MAX($E16:BQ16)</f>
        <v>1.2532775</v>
      </c>
      <c r="BR39">
        <f>MAX($E16:BR16)</f>
        <v>1.2838775</v>
      </c>
      <c r="BS39">
        <f>MAX($E16:BS16)</f>
        <v>1.2854075</v>
      </c>
      <c r="BT39">
        <f>MAX($E16:BT16)</f>
        <v>1.2854075</v>
      </c>
      <c r="BU39">
        <f>MAX($E16:BU16)</f>
        <v>1.3709325000000001</v>
      </c>
      <c r="BV39">
        <f>MAX($E16:BV16)</f>
        <v>1.3709325000000001</v>
      </c>
      <c r="BW39">
        <f>MAX($E16:BW16)</f>
        <v>1.3709325000000001</v>
      </c>
      <c r="BX39">
        <f>MAX($E16:BX16)</f>
        <v>1.3709325000000001</v>
      </c>
      <c r="BY39">
        <f>MAX($E16:BY16)</f>
        <v>1.3709325000000001</v>
      </c>
      <c r="BZ39">
        <f>MAX($E16:BZ16)</f>
        <v>1.4106050000000001</v>
      </c>
      <c r="CA39">
        <f>MAX($E16:CA16)</f>
        <v>1.425435</v>
      </c>
      <c r="CB39">
        <f>MAX($E16:CB16)</f>
        <v>1.425435</v>
      </c>
      <c r="CC39">
        <f>MAX($E16:CC16)</f>
        <v>1.425435</v>
      </c>
      <c r="CD39">
        <f>MAX($E16:CD16)</f>
        <v>1.425435</v>
      </c>
      <c r="CE39">
        <f>MAX($E16:CE16)</f>
        <v>1.425435</v>
      </c>
      <c r="CF39">
        <f>MAX($E16:CF16)</f>
        <v>1.425435</v>
      </c>
      <c r="CG39">
        <f>MAX($E16:CG16)</f>
        <v>1.425435</v>
      </c>
      <c r="CH39">
        <f>MAX($E16:CH16)</f>
        <v>1.4274800000000001</v>
      </c>
      <c r="CI39">
        <f>MAX($E16:CI16)</f>
        <v>1.4281925</v>
      </c>
      <c r="CJ39">
        <f>MAX($E16:CJ16)</f>
        <v>1.44286</v>
      </c>
      <c r="CK39">
        <f>MAX($E16:CK16)</f>
        <v>1.44286</v>
      </c>
      <c r="CL39">
        <f>MAX($E16:CL16)</f>
        <v>1.4539175</v>
      </c>
      <c r="CM39">
        <f>MAX($E16:CM16)</f>
        <v>1.4539175</v>
      </c>
      <c r="CN39">
        <f>MAX($E16:CN16)</f>
        <v>1.4539175</v>
      </c>
      <c r="CO39">
        <f>MAX($E16:CO16)</f>
        <v>1.5294099999999999</v>
      </c>
      <c r="CP39">
        <f>MAX($E16:CP16)</f>
        <v>1.5799125000000001</v>
      </c>
      <c r="CQ39">
        <f>MAX($E16:CQ16)</f>
        <v>1.5829325000000001</v>
      </c>
    </row>
    <row r="40" spans="1:96" x14ac:dyDescent="0.25">
      <c r="A40">
        <f t="shared" ref="A40:C40" si="20">A17</f>
        <v>2.2391103860233601</v>
      </c>
      <c r="B40">
        <f t="shared" si="20"/>
        <v>2.5928898270150507</v>
      </c>
      <c r="C40">
        <f t="shared" si="20"/>
        <v>0.44660594057445779</v>
      </c>
      <c r="E40">
        <f>MAX($E17:E17)</f>
        <v>0</v>
      </c>
      <c r="F40">
        <f>MAX($E17:F17)</f>
        <v>3.040675E-2</v>
      </c>
      <c r="G40">
        <f>MAX($E17:G17)</f>
        <v>3.040675E-2</v>
      </c>
      <c r="H40">
        <f>MAX($E17:H17)</f>
        <v>3.040675E-2</v>
      </c>
      <c r="I40">
        <f>MAX($E17:I17)</f>
        <v>3.040675E-2</v>
      </c>
      <c r="J40">
        <f>MAX($E17:J17)</f>
        <v>3.040675E-2</v>
      </c>
      <c r="K40">
        <f>MAX($E17:K17)</f>
        <v>3.040675E-2</v>
      </c>
      <c r="L40">
        <f>MAX($E17:L17)</f>
        <v>3.040675E-2</v>
      </c>
      <c r="M40">
        <f>MAX($E17:M17)</f>
        <v>3.040675E-2</v>
      </c>
      <c r="N40">
        <f>MAX($E17:N17)</f>
        <v>3.040675E-2</v>
      </c>
      <c r="O40">
        <f>MAX($E17:O17)</f>
        <v>3.040675E-2</v>
      </c>
      <c r="P40">
        <f>MAX($E17:P17)</f>
        <v>3.040675E-2</v>
      </c>
      <c r="Q40">
        <f>MAX($E17:Q17)</f>
        <v>3.040675E-2</v>
      </c>
      <c r="R40">
        <f>MAX($E17:R17)</f>
        <v>3.040675E-2</v>
      </c>
      <c r="S40">
        <f>MAX($E17:S17)</f>
        <v>3.040675E-2</v>
      </c>
      <c r="T40">
        <f>MAX($E17:T17)</f>
        <v>3.040675E-2</v>
      </c>
      <c r="U40">
        <f>MAX($E17:U17)</f>
        <v>3.040675E-2</v>
      </c>
      <c r="V40">
        <f>MAX($E17:V17)</f>
        <v>3.040675E-2</v>
      </c>
      <c r="W40">
        <f>MAX($E17:W17)</f>
        <v>3.040675E-2</v>
      </c>
      <c r="X40">
        <f>MAX($E17:X17)</f>
        <v>3.040675E-2</v>
      </c>
      <c r="Y40">
        <f>MAX($E17:Y17)</f>
        <v>3.040675E-2</v>
      </c>
      <c r="Z40">
        <f>MAX($E17:Z17)</f>
        <v>8.3352499999999705E-2</v>
      </c>
      <c r="AA40">
        <f>MAX($E17:AA17)</f>
        <v>0.11681</v>
      </c>
      <c r="AB40">
        <f>MAX($E17:AB17)</f>
        <v>0.117825</v>
      </c>
      <c r="AC40">
        <f>MAX($E17:AC17)</f>
        <v>0.15983</v>
      </c>
      <c r="AD40">
        <f>MAX($E17:AD17)</f>
        <v>0.390455</v>
      </c>
      <c r="AE40">
        <f>MAX($E17:AE17)</f>
        <v>0.39293999999999901</v>
      </c>
      <c r="AF40">
        <f>MAX($E17:AF17)</f>
        <v>0.39293999999999901</v>
      </c>
      <c r="AG40">
        <f>MAX($E17:AG17)</f>
        <v>0.60156750000000003</v>
      </c>
      <c r="AH40">
        <f>MAX($E17:AH17)</f>
        <v>0.68296000000000101</v>
      </c>
      <c r="AI40">
        <f>MAX($E17:AI17)</f>
        <v>0.68296000000000101</v>
      </c>
      <c r="AJ40">
        <f>MAX($E17:AJ17)</f>
        <v>0.68296000000000101</v>
      </c>
      <c r="AK40">
        <f>MAX($E17:AK17)</f>
        <v>0.68296000000000101</v>
      </c>
      <c r="AL40">
        <f>MAX($E17:AL17)</f>
        <v>0.68455500000000102</v>
      </c>
      <c r="AM40">
        <f>MAX($E17:AM17)</f>
        <v>0.81006250000000102</v>
      </c>
      <c r="AN40">
        <f>MAX($E17:AN17)</f>
        <v>0.81006250000000102</v>
      </c>
      <c r="AO40">
        <f>MAX($E17:AO17)</f>
        <v>0.8291925</v>
      </c>
      <c r="AP40">
        <f>MAX($E17:AP17)</f>
        <v>0.8291925</v>
      </c>
      <c r="AQ40">
        <f>MAX($E17:AQ17)</f>
        <v>0.8291925</v>
      </c>
      <c r="AR40">
        <f>MAX($E17:AR17)</f>
        <v>0.8291925</v>
      </c>
      <c r="AS40">
        <f>MAX($E17:AS17)</f>
        <v>0.8291925</v>
      </c>
      <c r="AT40">
        <f>MAX($E17:AT17)</f>
        <v>0.8291925</v>
      </c>
      <c r="AU40">
        <f>MAX($E17:AU17)</f>
        <v>0.8291925</v>
      </c>
      <c r="AV40">
        <f>MAX($E17:AV17)</f>
        <v>0.8291925</v>
      </c>
      <c r="AW40">
        <f>MAX($E17:AW17)</f>
        <v>0.8291925</v>
      </c>
      <c r="AX40">
        <f>MAX($E17:AX17)</f>
        <v>0.8291925</v>
      </c>
      <c r="AY40">
        <f>MAX($E17:AY17)</f>
        <v>0.87797250000000004</v>
      </c>
      <c r="AZ40">
        <f>MAX($E17:AZ17)</f>
        <v>0.87797250000000004</v>
      </c>
      <c r="BA40">
        <f>MAX($E17:BA17)</f>
        <v>0.92613000000000101</v>
      </c>
      <c r="BB40">
        <f>MAX($E17:BB17)</f>
        <v>0.92613000000000101</v>
      </c>
      <c r="BC40">
        <f>MAX($E17:BC17)</f>
        <v>0.92613000000000101</v>
      </c>
      <c r="BD40">
        <f>MAX($E17:BD17)</f>
        <v>0.92613000000000101</v>
      </c>
      <c r="BE40">
        <f>MAX($E17:BE17)</f>
        <v>0.94988166666666596</v>
      </c>
      <c r="BF40">
        <f>MAX($E17:BF17)</f>
        <v>0.94988166666666596</v>
      </c>
      <c r="BG40">
        <f>MAX($E17:BG17)</f>
        <v>0.94988166666666596</v>
      </c>
      <c r="BH40">
        <f>MAX($E17:BH17)</f>
        <v>0.94988166666666596</v>
      </c>
      <c r="BI40">
        <f>MAX($E17:BI17)</f>
        <v>0.94988166666666596</v>
      </c>
      <c r="BJ40">
        <f>MAX($E17:BJ17)</f>
        <v>0.94988166666666596</v>
      </c>
      <c r="BK40">
        <f>MAX($E17:BK17)</f>
        <v>0.98707666666666805</v>
      </c>
      <c r="BL40">
        <f>MAX($E17:BL17)</f>
        <v>0.98707666666666805</v>
      </c>
      <c r="BM40">
        <f>MAX($E17:BM17)</f>
        <v>0.98707666666666805</v>
      </c>
      <c r="BN40">
        <f>MAX($E17:BN17)</f>
        <v>0.98707666666666805</v>
      </c>
      <c r="BO40">
        <f>MAX($E17:BO17)</f>
        <v>0.98707666666666805</v>
      </c>
      <c r="BP40">
        <f>MAX($E17:BP17)</f>
        <v>0.98707666666666805</v>
      </c>
      <c r="BQ40">
        <f>MAX($E17:BQ17)</f>
        <v>0.98707666666666805</v>
      </c>
      <c r="BR40">
        <f>MAX($E17:BR17)</f>
        <v>0.98908916666666702</v>
      </c>
      <c r="BS40">
        <f>MAX($E17:BS17)</f>
        <v>0.99127083333333299</v>
      </c>
      <c r="BT40">
        <f>MAX($E17:BT17)</f>
        <v>0.99127083333333299</v>
      </c>
      <c r="BU40">
        <f>MAX($E17:BU17)</f>
        <v>1.07745</v>
      </c>
      <c r="BV40">
        <f>MAX($E17:BV17)</f>
        <v>1.07745</v>
      </c>
      <c r="BW40">
        <f>MAX($E17:BW17)</f>
        <v>1.07745</v>
      </c>
      <c r="BX40">
        <f>MAX($E17:BX17)</f>
        <v>1.07745</v>
      </c>
      <c r="BY40">
        <f>MAX($E17:BY17)</f>
        <v>1.07745</v>
      </c>
      <c r="BZ40">
        <f>MAX($E17:BZ17)</f>
        <v>1.12264416666667</v>
      </c>
      <c r="CA40">
        <f>MAX($E17:CA17)</f>
        <v>1.1356008333333301</v>
      </c>
      <c r="CB40">
        <f>MAX($E17:CB17)</f>
        <v>1.1356008333333301</v>
      </c>
      <c r="CC40">
        <f>MAX($E17:CC17)</f>
        <v>1.1356008333333301</v>
      </c>
      <c r="CD40">
        <f>MAX($E17:CD17)</f>
        <v>1.1356008333333301</v>
      </c>
      <c r="CE40">
        <f>MAX($E17:CE17)</f>
        <v>1.1356008333333301</v>
      </c>
      <c r="CF40">
        <f>MAX($E17:CF17)</f>
        <v>1.1356008333333301</v>
      </c>
      <c r="CG40">
        <f>MAX($E17:CG17)</f>
        <v>1.1356008333333301</v>
      </c>
      <c r="CH40">
        <f>MAX($E17:CH17)</f>
        <v>1.13568333333333</v>
      </c>
      <c r="CI40">
        <f>MAX($E17:CI17)</f>
        <v>1.13568333333333</v>
      </c>
      <c r="CJ40">
        <f>MAX($E17:CJ17)</f>
        <v>1.1495616666666699</v>
      </c>
      <c r="CK40">
        <f>MAX($E17:CK17)</f>
        <v>1.1495616666666699</v>
      </c>
      <c r="CL40">
        <f>MAX($E17:CL17)</f>
        <v>1.1557633333333299</v>
      </c>
      <c r="CM40">
        <f>MAX($E17:CM17)</f>
        <v>1.1557633333333299</v>
      </c>
      <c r="CN40">
        <f>MAX($E17:CN17)</f>
        <v>1.1557633333333299</v>
      </c>
      <c r="CO40">
        <f>MAX($E17:CO17)</f>
        <v>1.2198450000000001</v>
      </c>
      <c r="CP40">
        <f>MAX($E17:CP17)</f>
        <v>1.2689791666666701</v>
      </c>
      <c r="CQ40">
        <f>MAX($E17:CQ17)</f>
        <v>1.27477166666667</v>
      </c>
    </row>
    <row r="41" spans="1:96" x14ac:dyDescent="0.25">
      <c r="A41">
        <f t="shared" ref="A41:C41" si="21">A18</f>
        <v>2.1527546001857099</v>
      </c>
      <c r="B41">
        <f t="shared" si="21"/>
        <v>2.4928898270150519</v>
      </c>
      <c r="C41">
        <f t="shared" si="21"/>
        <v>0.46452113023645791</v>
      </c>
      <c r="E41">
        <f>MAX($E18:E18)</f>
        <v>0</v>
      </c>
      <c r="F41">
        <f>MAX($E18:F18)</f>
        <v>2.98315E-2</v>
      </c>
      <c r="G41">
        <f>MAX($E18:G18)</f>
        <v>3.1471250000000103E-2</v>
      </c>
      <c r="H41">
        <f>MAX($E18:H18)</f>
        <v>3.1471250000000103E-2</v>
      </c>
      <c r="I41">
        <f>MAX($E18:I18)</f>
        <v>3.1471250000000103E-2</v>
      </c>
      <c r="J41">
        <f>MAX($E18:J18)</f>
        <v>3.1471250000000103E-2</v>
      </c>
      <c r="K41">
        <f>MAX($E18:K18)</f>
        <v>3.1471250000000103E-2</v>
      </c>
      <c r="L41">
        <f>MAX($E18:L18)</f>
        <v>3.1471250000000103E-2</v>
      </c>
      <c r="M41">
        <f>MAX($E18:M18)</f>
        <v>3.1471250000000103E-2</v>
      </c>
      <c r="N41">
        <f>MAX($E18:N18)</f>
        <v>3.1471250000000103E-2</v>
      </c>
      <c r="O41">
        <f>MAX($E18:O18)</f>
        <v>3.1471250000000103E-2</v>
      </c>
      <c r="P41">
        <f>MAX($E18:P18)</f>
        <v>3.1471250000000103E-2</v>
      </c>
      <c r="Q41">
        <f>MAX($E18:Q18)</f>
        <v>3.1471250000000103E-2</v>
      </c>
      <c r="R41">
        <f>MAX($E18:R18)</f>
        <v>3.1471250000000103E-2</v>
      </c>
      <c r="S41">
        <f>MAX($E18:S18)</f>
        <v>3.1471250000000103E-2</v>
      </c>
      <c r="T41">
        <f>MAX($E18:T18)</f>
        <v>3.1471250000000103E-2</v>
      </c>
      <c r="U41">
        <f>MAX($E18:U18)</f>
        <v>3.1471250000000103E-2</v>
      </c>
      <c r="V41">
        <f>MAX($E18:V18)</f>
        <v>3.1471250000000103E-2</v>
      </c>
      <c r="W41">
        <f>MAX($E18:W18)</f>
        <v>3.1471250000000103E-2</v>
      </c>
      <c r="X41">
        <f>MAX($E18:X18)</f>
        <v>3.1471250000000103E-2</v>
      </c>
      <c r="Y41">
        <f>MAX($E18:Y18)</f>
        <v>3.1471250000000103E-2</v>
      </c>
      <c r="Z41">
        <f>MAX($E18:Z18)</f>
        <v>3.7307499999999799E-2</v>
      </c>
      <c r="AA41">
        <f>MAX($E18:AA18)</f>
        <v>5.3932499999999703E-2</v>
      </c>
      <c r="AB41">
        <f>MAX($E18:AB18)</f>
        <v>5.3932499999999703E-2</v>
      </c>
      <c r="AC41">
        <f>MAX($E18:AC18)</f>
        <v>0.1003825</v>
      </c>
      <c r="AD41">
        <f>MAX($E18:AD18)</f>
        <v>0.32291750000000002</v>
      </c>
      <c r="AE41">
        <f>MAX($E18:AE18)</f>
        <v>0.32526500000000003</v>
      </c>
      <c r="AF41">
        <f>MAX($E18:AF18)</f>
        <v>0.32526500000000003</v>
      </c>
      <c r="AG41">
        <f>MAX($E18:AG18)</f>
        <v>0.51834249999999904</v>
      </c>
      <c r="AH41">
        <f>MAX($E18:AH18)</f>
        <v>0.60436250000000002</v>
      </c>
      <c r="AI41">
        <f>MAX($E18:AI18)</f>
        <v>0.60436250000000002</v>
      </c>
      <c r="AJ41">
        <f>MAX($E18:AJ18)</f>
        <v>0.60436250000000002</v>
      </c>
      <c r="AK41">
        <f>MAX($E18:AK18)</f>
        <v>0.61728750000000099</v>
      </c>
      <c r="AL41">
        <f>MAX($E18:AL18)</f>
        <v>0.62427249999999901</v>
      </c>
      <c r="AM41">
        <f>MAX($E18:AM18)</f>
        <v>0.78368250000000095</v>
      </c>
      <c r="AN41">
        <f>MAX($E18:AN18)</f>
        <v>0.78368250000000095</v>
      </c>
      <c r="AO41">
        <f>MAX($E18:AO18)</f>
        <v>0.80388749999999898</v>
      </c>
      <c r="AP41">
        <f>MAX($E18:AP18)</f>
        <v>0.81716500000000003</v>
      </c>
      <c r="AQ41">
        <f>MAX($E18:AQ18)</f>
        <v>0.82125000000000004</v>
      </c>
      <c r="AR41">
        <f>MAX($E18:AR18)</f>
        <v>0.82125000000000004</v>
      </c>
      <c r="AS41">
        <f>MAX($E18:AS18)</f>
        <v>0.82125000000000004</v>
      </c>
      <c r="AT41">
        <f>MAX($E18:AT18)</f>
        <v>0.83161499999999899</v>
      </c>
      <c r="AU41">
        <f>MAX($E18:AU18)</f>
        <v>0.83736750000000004</v>
      </c>
      <c r="AV41">
        <f>MAX($E18:AV18)</f>
        <v>0.84247000000000105</v>
      </c>
      <c r="AW41">
        <f>MAX($E18:AW18)</f>
        <v>0.84247000000000105</v>
      </c>
      <c r="AX41">
        <f>MAX($E18:AX18)</f>
        <v>0.86756999999999995</v>
      </c>
      <c r="AY41">
        <f>MAX($E18:AY18)</f>
        <v>0.92449999999999999</v>
      </c>
      <c r="AZ41">
        <f>MAX($E18:AZ18)</f>
        <v>0.92449999999999999</v>
      </c>
      <c r="BA41">
        <f>MAX($E18:BA18)</f>
        <v>0.97346999999999995</v>
      </c>
      <c r="BB41">
        <f>MAX($E18:BB18)</f>
        <v>0.97346999999999995</v>
      </c>
      <c r="BC41">
        <f>MAX($E18:BC18)</f>
        <v>0.97346999999999995</v>
      </c>
      <c r="BD41">
        <f>MAX($E18:BD18)</f>
        <v>0.97346999999999995</v>
      </c>
      <c r="BE41">
        <f>MAX($E18:BE18)</f>
        <v>1.0279725</v>
      </c>
      <c r="BF41">
        <f>MAX($E18:BF18)</f>
        <v>1.0279725</v>
      </c>
      <c r="BG41">
        <f>MAX($E18:BG18)</f>
        <v>1.0279725</v>
      </c>
      <c r="BH41">
        <f>MAX($E18:BH18)</f>
        <v>1.0279725</v>
      </c>
      <c r="BI41">
        <f>MAX($E18:BI18)</f>
        <v>1.0279725</v>
      </c>
      <c r="BJ41">
        <f>MAX($E18:BJ18)</f>
        <v>1.0279725</v>
      </c>
      <c r="BK41">
        <f>MAX($E18:BK18)</f>
        <v>1.0279725</v>
      </c>
      <c r="BL41">
        <f>MAX($E18:BL18)</f>
        <v>1.0279725</v>
      </c>
      <c r="BM41">
        <f>MAX($E18:BM18)</f>
        <v>1.0508500000000001</v>
      </c>
      <c r="BN41">
        <f>MAX($E18:BN18)</f>
        <v>1.0508500000000001</v>
      </c>
      <c r="BO41">
        <f>MAX($E18:BO18)</f>
        <v>1.1522524999999999</v>
      </c>
      <c r="BP41">
        <f>MAX($E18:BP18)</f>
        <v>1.1522524999999999</v>
      </c>
      <c r="BQ41">
        <f>MAX($E18:BQ18)</f>
        <v>1.1522524999999999</v>
      </c>
      <c r="BR41">
        <f>MAX($E18:BR18)</f>
        <v>1.1787799999999999</v>
      </c>
      <c r="BS41">
        <f>MAX($E18:BS18)</f>
        <v>1.1805175000000001</v>
      </c>
      <c r="BT41">
        <f>MAX($E18:BT18)</f>
        <v>1.1805175000000001</v>
      </c>
      <c r="BU41">
        <f>MAX($E18:BU18)</f>
        <v>1.2732825000000001</v>
      </c>
      <c r="BV41">
        <f>MAX($E18:BV18)</f>
        <v>1.2732825000000001</v>
      </c>
      <c r="BW41">
        <f>MAX($E18:BW18)</f>
        <v>1.2732825000000001</v>
      </c>
      <c r="BX41">
        <f>MAX($E18:BX18)</f>
        <v>1.2732825000000001</v>
      </c>
      <c r="BY41">
        <f>MAX($E18:BY18)</f>
        <v>1.2732825000000001</v>
      </c>
      <c r="BZ41">
        <f>MAX($E18:BZ18)</f>
        <v>1.3165674999999999</v>
      </c>
      <c r="CA41">
        <f>MAX($E18:CA18)</f>
        <v>1.3264199999999999</v>
      </c>
      <c r="CB41">
        <f>MAX($E18:CB18)</f>
        <v>1.3264199999999999</v>
      </c>
      <c r="CC41">
        <f>MAX($E18:CC18)</f>
        <v>1.3264199999999999</v>
      </c>
      <c r="CD41">
        <f>MAX($E18:CD18)</f>
        <v>1.3264199999999999</v>
      </c>
      <c r="CE41">
        <f>MAX($E18:CE18)</f>
        <v>1.3264199999999999</v>
      </c>
      <c r="CF41">
        <f>MAX($E18:CF18)</f>
        <v>1.3264199999999999</v>
      </c>
      <c r="CG41">
        <f>MAX($E18:CG18)</f>
        <v>1.3264199999999999</v>
      </c>
      <c r="CH41">
        <f>MAX($E18:CH18)</f>
        <v>1.3264199999999999</v>
      </c>
      <c r="CI41">
        <f>MAX($E18:CI18)</f>
        <v>1.3264199999999999</v>
      </c>
      <c r="CJ41">
        <f>MAX($E18:CJ18)</f>
        <v>1.3264199999999999</v>
      </c>
      <c r="CK41">
        <f>MAX($E18:CK18)</f>
        <v>1.3264199999999999</v>
      </c>
      <c r="CL41">
        <f>MAX($E18:CL18)</f>
        <v>1.3294649999999999</v>
      </c>
      <c r="CM41">
        <f>MAX($E18:CM18)</f>
        <v>1.3294649999999999</v>
      </c>
      <c r="CN41">
        <f>MAX($E18:CN18)</f>
        <v>1.3294649999999999</v>
      </c>
      <c r="CO41">
        <f>MAX($E18:CO18)</f>
        <v>1.3603075</v>
      </c>
      <c r="CP41">
        <f>MAX($E18:CP18)</f>
        <v>1.4133275000000001</v>
      </c>
      <c r="CQ41">
        <f>MAX($E18:CQ18)</f>
        <v>1.4186399999999999</v>
      </c>
    </row>
    <row r="42" spans="1:96" x14ac:dyDescent="0.25">
      <c r="A42">
        <f t="shared" ref="A42:C42" si="22">A19</f>
        <v>2.0663988143480601</v>
      </c>
      <c r="B42">
        <f t="shared" si="22"/>
        <v>2.3928898270150536</v>
      </c>
      <c r="C42">
        <f t="shared" si="22"/>
        <v>0.48393368843249929</v>
      </c>
      <c r="E42">
        <f>MAX($E19:E19)</f>
        <v>0</v>
      </c>
      <c r="F42">
        <f>MAX($E19:F19)</f>
        <v>2.522075E-2</v>
      </c>
      <c r="G42">
        <f>MAX($E19:G19)</f>
        <v>2.926225E-2</v>
      </c>
      <c r="H42">
        <f>MAX($E19:H19)</f>
        <v>2.926225E-2</v>
      </c>
      <c r="I42">
        <f>MAX($E19:I19)</f>
        <v>2.926225E-2</v>
      </c>
      <c r="J42">
        <f>MAX($E19:J19)</f>
        <v>2.926225E-2</v>
      </c>
      <c r="K42">
        <f>MAX($E19:K19)</f>
        <v>2.926225E-2</v>
      </c>
      <c r="L42">
        <f>MAX($E19:L19)</f>
        <v>2.926225E-2</v>
      </c>
      <c r="M42">
        <f>MAX($E19:M19)</f>
        <v>2.926225E-2</v>
      </c>
      <c r="N42">
        <f>MAX($E19:N19)</f>
        <v>2.926225E-2</v>
      </c>
      <c r="O42">
        <f>MAX($E19:O19)</f>
        <v>2.926225E-2</v>
      </c>
      <c r="P42">
        <f>MAX($E19:P19)</f>
        <v>2.926225E-2</v>
      </c>
      <c r="Q42">
        <f>MAX($E19:Q19)</f>
        <v>2.926225E-2</v>
      </c>
      <c r="R42">
        <f>MAX($E19:R19)</f>
        <v>2.926225E-2</v>
      </c>
      <c r="S42">
        <f>MAX($E19:S19)</f>
        <v>2.926225E-2</v>
      </c>
      <c r="T42">
        <f>MAX($E19:T19)</f>
        <v>2.926225E-2</v>
      </c>
      <c r="U42">
        <f>MAX($E19:U19)</f>
        <v>2.926225E-2</v>
      </c>
      <c r="V42">
        <f>MAX($E19:V19)</f>
        <v>2.926225E-2</v>
      </c>
      <c r="W42">
        <f>MAX($E19:W19)</f>
        <v>2.926225E-2</v>
      </c>
      <c r="X42">
        <f>MAX($E19:X19)</f>
        <v>2.926225E-2</v>
      </c>
      <c r="Y42">
        <f>MAX($E19:Y19)</f>
        <v>2.926225E-2</v>
      </c>
      <c r="Z42">
        <f>MAX($E19:Z19)</f>
        <v>2.926225E-2</v>
      </c>
      <c r="AA42">
        <f>MAX($E19:AA19)</f>
        <v>2.926225E-2</v>
      </c>
      <c r="AB42">
        <f>MAX($E19:AB19)</f>
        <v>2.926225E-2</v>
      </c>
      <c r="AC42">
        <f>MAX($E19:AC19)</f>
        <v>2.926225E-2</v>
      </c>
      <c r="AD42">
        <f>MAX($E19:AD19)</f>
        <v>0.17927000000000101</v>
      </c>
      <c r="AE42">
        <f>MAX($E19:AE19)</f>
        <v>0.17990249999999899</v>
      </c>
      <c r="AF42">
        <f>MAX($E19:AF19)</f>
        <v>0.17990249999999899</v>
      </c>
      <c r="AG42">
        <f>MAX($E19:AG19)</f>
        <v>0.36358999999999903</v>
      </c>
      <c r="AH42">
        <f>MAX($E19:AH19)</f>
        <v>0.4551925</v>
      </c>
      <c r="AI42">
        <f>MAX($E19:AI19)</f>
        <v>0.4551925</v>
      </c>
      <c r="AJ42">
        <f>MAX($E19:AJ19)</f>
        <v>0.4551925</v>
      </c>
      <c r="AK42">
        <f>MAX($E19:AK19)</f>
        <v>0.49234250000000002</v>
      </c>
      <c r="AL42">
        <f>MAX($E19:AL19)</f>
        <v>0.50260249999999895</v>
      </c>
      <c r="AM42">
        <f>MAX($E19:AM19)</f>
        <v>0.69845250000000003</v>
      </c>
      <c r="AN42">
        <f>MAX($E19:AN19)</f>
        <v>0.69845250000000003</v>
      </c>
      <c r="AO42">
        <f>MAX($E19:AO19)</f>
        <v>0.71763750000000004</v>
      </c>
      <c r="AP42">
        <f>MAX($E19:AP19)</f>
        <v>0.75492000000000004</v>
      </c>
      <c r="AQ42">
        <f>MAX($E19:AQ19)</f>
        <v>0.77270249999999996</v>
      </c>
      <c r="AR42">
        <f>MAX($E19:AR19)</f>
        <v>0.77270249999999996</v>
      </c>
      <c r="AS42">
        <f>MAX($E19:AS19)</f>
        <v>0.77270249999999996</v>
      </c>
      <c r="AT42">
        <f>MAX($E19:AT19)</f>
        <v>0.85402999999999996</v>
      </c>
      <c r="AU42">
        <f>MAX($E19:AU19)</f>
        <v>0.85893750000000102</v>
      </c>
      <c r="AV42">
        <f>MAX($E19:AV19)</f>
        <v>0.86342749999999902</v>
      </c>
      <c r="AW42">
        <f>MAX($E19:AW19)</f>
        <v>0.86342749999999902</v>
      </c>
      <c r="AX42">
        <f>MAX($E19:AX19)</f>
        <v>0.88939250000000003</v>
      </c>
      <c r="AY42">
        <f>MAX($E19:AY19)</f>
        <v>0.95036500000000002</v>
      </c>
      <c r="AZ42">
        <f>MAX($E19:AZ19)</f>
        <v>0.95036500000000002</v>
      </c>
      <c r="BA42">
        <f>MAX($E19:BA19)</f>
        <v>1.0079374999999999</v>
      </c>
      <c r="BB42">
        <f>MAX($E19:BB19)</f>
        <v>1.0079374999999999</v>
      </c>
      <c r="BC42">
        <f>MAX($E19:BC19)</f>
        <v>1.0079374999999999</v>
      </c>
      <c r="BD42">
        <f>MAX($E19:BD19)</f>
        <v>1.0079374999999999</v>
      </c>
      <c r="BE42">
        <f>MAX($E19:BE19)</f>
        <v>1.0813225</v>
      </c>
      <c r="BF42">
        <f>MAX($E19:BF19)</f>
        <v>1.0813225</v>
      </c>
      <c r="BG42">
        <f>MAX($E19:BG19)</f>
        <v>1.0813225</v>
      </c>
      <c r="BH42">
        <f>MAX($E19:BH19)</f>
        <v>1.0834524999999999</v>
      </c>
      <c r="BI42">
        <f>MAX($E19:BI19)</f>
        <v>1.0841624999999999</v>
      </c>
      <c r="BJ42">
        <f>MAX($E19:BJ19)</f>
        <v>1.0841624999999999</v>
      </c>
      <c r="BK42">
        <f>MAX($E19:BK19)</f>
        <v>1.1760875</v>
      </c>
      <c r="BL42">
        <f>MAX($E19:BL19)</f>
        <v>1.1760875</v>
      </c>
      <c r="BM42">
        <f>MAX($E19:BM19)</f>
        <v>1.1760875</v>
      </c>
      <c r="BN42">
        <f>MAX($E19:BN19)</f>
        <v>1.1760875</v>
      </c>
      <c r="BO42">
        <f>MAX($E19:BO19)</f>
        <v>1.1760875</v>
      </c>
      <c r="BP42">
        <f>MAX($E19:BP19)</f>
        <v>1.1760875</v>
      </c>
      <c r="BQ42">
        <f>MAX($E19:BQ19)</f>
        <v>1.1760875</v>
      </c>
      <c r="BR42">
        <f>MAX($E19:BR19)</f>
        <v>1.1760875</v>
      </c>
      <c r="BS42">
        <f>MAX($E19:BS19)</f>
        <v>1.1760875</v>
      </c>
      <c r="BT42">
        <f>MAX($E19:BT19)</f>
        <v>1.1760875</v>
      </c>
      <c r="BU42">
        <f>MAX($E19:BU19)</f>
        <v>1.2663675000000001</v>
      </c>
      <c r="BV42">
        <f>MAX($E19:BV19)</f>
        <v>1.2663675000000001</v>
      </c>
      <c r="BW42">
        <f>MAX($E19:BW19)</f>
        <v>1.2663675000000001</v>
      </c>
      <c r="BX42">
        <f>MAX($E19:BX19)</f>
        <v>1.2663675000000001</v>
      </c>
      <c r="BY42">
        <f>MAX($E19:BY19)</f>
        <v>1.2663675000000001</v>
      </c>
      <c r="BZ42">
        <f>MAX($E19:BZ19)</f>
        <v>1.297275</v>
      </c>
      <c r="CA42">
        <f>MAX($E19:CA19)</f>
        <v>1.3058725</v>
      </c>
      <c r="CB42">
        <f>MAX($E19:CB19)</f>
        <v>1.3058725</v>
      </c>
      <c r="CC42">
        <f>MAX($E19:CC19)</f>
        <v>1.3058725</v>
      </c>
      <c r="CD42">
        <f>MAX($E19:CD19)</f>
        <v>1.3058725</v>
      </c>
      <c r="CE42">
        <f>MAX($E19:CE19)</f>
        <v>1.3058725</v>
      </c>
      <c r="CF42">
        <f>MAX($E19:CF19)</f>
        <v>1.3058725</v>
      </c>
      <c r="CG42">
        <f>MAX($E19:CG19)</f>
        <v>1.3058725</v>
      </c>
      <c r="CH42">
        <f>MAX($E19:CH19)</f>
        <v>1.3058725</v>
      </c>
      <c r="CI42">
        <f>MAX($E19:CI19)</f>
        <v>1.3058725</v>
      </c>
      <c r="CJ42">
        <f>MAX($E19:CJ19)</f>
        <v>1.3058725</v>
      </c>
      <c r="CK42">
        <f>MAX($E19:CK19)</f>
        <v>1.3058725</v>
      </c>
      <c r="CL42">
        <f>MAX($E19:CL19)</f>
        <v>1.3058725</v>
      </c>
      <c r="CM42">
        <f>MAX($E19:CM19)</f>
        <v>1.3058725</v>
      </c>
      <c r="CN42">
        <f>MAX($E19:CN19)</f>
        <v>1.3058725</v>
      </c>
      <c r="CO42">
        <f>MAX($E19:CO19)</f>
        <v>1.3058725</v>
      </c>
      <c r="CP42">
        <f>MAX($E19:CP19)</f>
        <v>1.333485</v>
      </c>
      <c r="CQ42">
        <f>MAX($E19:CQ19)</f>
        <v>1.337825</v>
      </c>
    </row>
    <row r="43" spans="1:96" x14ac:dyDescent="0.25">
      <c r="A43">
        <f t="shared" ref="A43:C43" si="23">A20</f>
        <v>1.98004302851041</v>
      </c>
      <c r="B43">
        <f t="shared" si="23"/>
        <v>2.2928898270150548</v>
      </c>
      <c r="C43">
        <f t="shared" si="23"/>
        <v>0.50503952974814992</v>
      </c>
      <c r="E43">
        <f>MAX($E20:E20)</f>
        <v>0</v>
      </c>
      <c r="F43">
        <f>MAX($E20:F20)</f>
        <v>2.81582500000001E-2</v>
      </c>
      <c r="G43">
        <f>MAX($E20:G20)</f>
        <v>2.9039499999999999E-2</v>
      </c>
      <c r="H43">
        <f>MAX($E20:H20)</f>
        <v>2.9039499999999999E-2</v>
      </c>
      <c r="I43">
        <f>MAX($E20:I20)</f>
        <v>2.9039499999999999E-2</v>
      </c>
      <c r="J43">
        <f>MAX($E20:J20)</f>
        <v>2.9039499999999999E-2</v>
      </c>
      <c r="K43">
        <f>MAX($E20:K20)</f>
        <v>2.9039499999999999E-2</v>
      </c>
      <c r="L43">
        <f>MAX($E20:L20)</f>
        <v>2.9039499999999999E-2</v>
      </c>
      <c r="M43">
        <f>MAX($E20:M20)</f>
        <v>2.9039499999999999E-2</v>
      </c>
      <c r="N43">
        <f>MAX($E20:N20)</f>
        <v>2.9039499999999999E-2</v>
      </c>
      <c r="O43">
        <f>MAX($E20:O20)</f>
        <v>2.9039499999999999E-2</v>
      </c>
      <c r="P43">
        <f>MAX($E20:P20)</f>
        <v>2.9039499999999999E-2</v>
      </c>
      <c r="Q43">
        <f>MAX($E20:Q20)</f>
        <v>2.9039499999999999E-2</v>
      </c>
      <c r="R43">
        <f>MAX($E20:R20)</f>
        <v>2.9039499999999999E-2</v>
      </c>
      <c r="S43">
        <f>MAX($E20:S20)</f>
        <v>2.9039499999999999E-2</v>
      </c>
      <c r="T43">
        <f>MAX($E20:T20)</f>
        <v>2.9039499999999999E-2</v>
      </c>
      <c r="U43">
        <f>MAX($E20:U20)</f>
        <v>2.9039499999999999E-2</v>
      </c>
      <c r="V43">
        <f>MAX($E20:V20)</f>
        <v>2.9039499999999999E-2</v>
      </c>
      <c r="W43">
        <f>MAX($E20:W20)</f>
        <v>2.9039499999999999E-2</v>
      </c>
      <c r="X43">
        <f>MAX($E20:X20)</f>
        <v>2.9039499999999999E-2</v>
      </c>
      <c r="Y43">
        <f>MAX($E20:Y20)</f>
        <v>2.9039499999999999E-2</v>
      </c>
      <c r="Z43">
        <f>MAX($E20:Z20)</f>
        <v>2.9039499999999999E-2</v>
      </c>
      <c r="AA43">
        <f>MAX($E20:AA20)</f>
        <v>2.9039499999999999E-2</v>
      </c>
      <c r="AB43">
        <f>MAX($E20:AB20)</f>
        <v>2.9039499999999999E-2</v>
      </c>
      <c r="AC43">
        <f>MAX($E20:AC20)</f>
        <v>2.9039499999999999E-2</v>
      </c>
      <c r="AD43">
        <f>MAX($E20:AD20)</f>
        <v>4.9564999999999401E-2</v>
      </c>
      <c r="AE43">
        <f>MAX($E20:AE20)</f>
        <v>4.9564999999999401E-2</v>
      </c>
      <c r="AF43">
        <f>MAX($E20:AF20)</f>
        <v>4.9564999999999401E-2</v>
      </c>
      <c r="AG43">
        <f>MAX($E20:AG20)</f>
        <v>0.21022750000000001</v>
      </c>
      <c r="AH43">
        <f>MAX($E20:AH20)</f>
        <v>0.31222750000000099</v>
      </c>
      <c r="AI43">
        <f>MAX($E20:AI20)</f>
        <v>0.31222750000000099</v>
      </c>
      <c r="AJ43">
        <f>MAX($E20:AJ20)</f>
        <v>0.31222750000000099</v>
      </c>
      <c r="AK43">
        <f>MAX($E20:AK20)</f>
        <v>0.31441249999999998</v>
      </c>
      <c r="AL43">
        <f>MAX($E20:AL20)</f>
        <v>0.322794999999999</v>
      </c>
      <c r="AM43">
        <f>MAX($E20:AM20)</f>
        <v>0.5261325</v>
      </c>
      <c r="AN43">
        <f>MAX($E20:AN20)</f>
        <v>0.5261325</v>
      </c>
      <c r="AO43">
        <f>MAX($E20:AO20)</f>
        <v>0.54826250000000099</v>
      </c>
      <c r="AP43">
        <f>MAX($E20:AP20)</f>
        <v>0.59488750000000001</v>
      </c>
      <c r="AQ43">
        <f>MAX($E20:AQ20)</f>
        <v>0.62733249999999996</v>
      </c>
      <c r="AR43">
        <f>MAX($E20:AR20)</f>
        <v>0.62733249999999996</v>
      </c>
      <c r="AS43">
        <f>MAX($E20:AS20)</f>
        <v>0.66529249999999795</v>
      </c>
      <c r="AT43">
        <f>MAX($E20:AT20)</f>
        <v>0.78273999999999999</v>
      </c>
      <c r="AU43">
        <f>MAX($E20:AU20)</f>
        <v>0.79433750000000003</v>
      </c>
      <c r="AV43">
        <f>MAX($E20:AV20)</f>
        <v>0.796875000000001</v>
      </c>
      <c r="AW43">
        <f>MAX($E20:AW20)</f>
        <v>0.796875000000001</v>
      </c>
      <c r="AX43">
        <f>MAX($E20:AX20)</f>
        <v>0.83821749999999995</v>
      </c>
      <c r="AY43">
        <f>MAX($E20:AY20)</f>
        <v>0.90776749999999995</v>
      </c>
      <c r="AZ43">
        <f>MAX($E20:AZ20)</f>
        <v>0.90776749999999995</v>
      </c>
      <c r="BA43">
        <f>MAX($E20:BA20)</f>
        <v>0.97638499999999995</v>
      </c>
      <c r="BB43">
        <f>MAX($E20:BB20)</f>
        <v>0.97638499999999995</v>
      </c>
      <c r="BC43">
        <f>MAX($E20:BC20)</f>
        <v>0.97638499999999995</v>
      </c>
      <c r="BD43">
        <f>MAX($E20:BD20)</f>
        <v>0.97638499999999995</v>
      </c>
      <c r="BE43">
        <f>MAX($E20:BE20)</f>
        <v>1.0458050000000001</v>
      </c>
      <c r="BF43">
        <f>MAX($E20:BF20)</f>
        <v>1.0458050000000001</v>
      </c>
      <c r="BG43">
        <f>MAX($E20:BG20)</f>
        <v>1.0458050000000001</v>
      </c>
      <c r="BH43">
        <f>MAX($E20:BH20)</f>
        <v>1.0458050000000001</v>
      </c>
      <c r="BI43">
        <f>MAX($E20:BI20)</f>
        <v>1.0458050000000001</v>
      </c>
      <c r="BJ43">
        <f>MAX($E20:BJ20)</f>
        <v>1.0458050000000001</v>
      </c>
      <c r="BK43">
        <f>MAX($E20:BK20)</f>
        <v>1.1197075000000001</v>
      </c>
      <c r="BL43">
        <f>MAX($E20:BL20)</f>
        <v>1.1197075000000001</v>
      </c>
      <c r="BM43">
        <f>MAX($E20:BM20)</f>
        <v>1.1197075000000001</v>
      </c>
      <c r="BN43">
        <f>MAX($E20:BN20)</f>
        <v>1.1197075000000001</v>
      </c>
      <c r="BO43">
        <f>MAX($E20:BO20)</f>
        <v>1.1197075000000001</v>
      </c>
      <c r="BP43">
        <f>MAX($E20:BP20)</f>
        <v>1.1197075000000001</v>
      </c>
      <c r="BQ43">
        <f>MAX($E20:BQ20)</f>
        <v>1.1197075000000001</v>
      </c>
      <c r="BR43">
        <f>MAX($E20:BR20)</f>
        <v>1.1197075000000001</v>
      </c>
      <c r="BS43">
        <f>MAX($E20:BS20)</f>
        <v>1.1197075000000001</v>
      </c>
      <c r="BT43">
        <f>MAX($E20:BT20)</f>
        <v>1.1197075000000001</v>
      </c>
      <c r="BU43">
        <f>MAX($E20:BU20)</f>
        <v>1.1912374999999999</v>
      </c>
      <c r="BV43">
        <f>MAX($E20:BV20)</f>
        <v>1.1912374999999999</v>
      </c>
      <c r="BW43">
        <f>MAX($E20:BW20)</f>
        <v>1.1912374999999999</v>
      </c>
      <c r="BX43">
        <f>MAX($E20:BX20)</f>
        <v>1.1912374999999999</v>
      </c>
      <c r="BY43">
        <f>MAX($E20:BY20)</f>
        <v>1.1912374999999999</v>
      </c>
      <c r="BZ43">
        <f>MAX($E20:BZ20)</f>
        <v>1.2221850000000001</v>
      </c>
      <c r="CA43">
        <f>MAX($E20:CA20)</f>
        <v>1.2281899999999999</v>
      </c>
      <c r="CB43">
        <f>MAX($E20:CB20)</f>
        <v>1.2281899999999999</v>
      </c>
      <c r="CC43">
        <f>MAX($E20:CC20)</f>
        <v>1.2281899999999999</v>
      </c>
      <c r="CD43">
        <f>MAX($E20:CD20)</f>
        <v>1.2281899999999999</v>
      </c>
      <c r="CE43">
        <f>MAX($E20:CE20)</f>
        <v>1.2281899999999999</v>
      </c>
      <c r="CF43">
        <f>MAX($E20:CF20)</f>
        <v>1.2281899999999999</v>
      </c>
      <c r="CG43">
        <f>MAX($E20:CG20)</f>
        <v>1.2281899999999999</v>
      </c>
      <c r="CH43">
        <f>MAX($E20:CH20)</f>
        <v>1.2281899999999999</v>
      </c>
      <c r="CI43">
        <f>MAX($E20:CI20)</f>
        <v>1.2281899999999999</v>
      </c>
      <c r="CJ43">
        <f>MAX($E20:CJ20)</f>
        <v>1.2281899999999999</v>
      </c>
      <c r="CK43">
        <f>MAX($E20:CK20)</f>
        <v>1.2281899999999999</v>
      </c>
      <c r="CL43">
        <f>MAX($E20:CL20)</f>
        <v>1.2281899999999999</v>
      </c>
      <c r="CM43">
        <f>MAX($E20:CM20)</f>
        <v>1.2281899999999999</v>
      </c>
      <c r="CN43">
        <f>MAX($E20:CN20)</f>
        <v>1.2281899999999999</v>
      </c>
      <c r="CO43">
        <f>MAX($E20:CO20)</f>
        <v>1.2281899999999999</v>
      </c>
      <c r="CP43">
        <f>MAX($E20:CP20)</f>
        <v>1.2281899999999999</v>
      </c>
      <c r="CQ43">
        <f>MAX($E20:CQ20)</f>
        <v>1.2308250000000001</v>
      </c>
    </row>
    <row r="44" spans="1:96" x14ac:dyDescent="0.25">
      <c r="A44">
        <f t="shared" ref="A44:C44" si="24">A21</f>
        <v>1.89368724267276</v>
      </c>
      <c r="B44">
        <f t="shared" si="24"/>
        <v>2.1928898270150561</v>
      </c>
      <c r="C44">
        <f t="shared" si="24"/>
        <v>0.52807030509884767</v>
      </c>
      <c r="E44">
        <f>MAX($E21:E21)</f>
        <v>0</v>
      </c>
      <c r="F44">
        <f>MAX($E21:F21)</f>
        <v>3.3529249999999997E-2</v>
      </c>
      <c r="G44">
        <f>MAX($E21:G21)</f>
        <v>3.3529249999999997E-2</v>
      </c>
      <c r="H44">
        <f>MAX($E21:H21)</f>
        <v>3.3529249999999997E-2</v>
      </c>
      <c r="I44">
        <f>MAX($E21:I21)</f>
        <v>3.3529249999999997E-2</v>
      </c>
      <c r="J44">
        <f>MAX($E21:J21)</f>
        <v>3.3529249999999997E-2</v>
      </c>
      <c r="K44">
        <f>MAX($E21:K21)</f>
        <v>3.3529249999999997E-2</v>
      </c>
      <c r="L44">
        <f>MAX($E21:L21)</f>
        <v>3.3529249999999997E-2</v>
      </c>
      <c r="M44">
        <f>MAX($E21:M21)</f>
        <v>3.3529249999999997E-2</v>
      </c>
      <c r="N44">
        <f>MAX($E21:N21)</f>
        <v>3.3529249999999997E-2</v>
      </c>
      <c r="O44">
        <f>MAX($E21:O21)</f>
        <v>3.3529249999999997E-2</v>
      </c>
      <c r="P44">
        <f>MAX($E21:P21)</f>
        <v>3.3529249999999997E-2</v>
      </c>
      <c r="Q44">
        <f>MAX($E21:Q21)</f>
        <v>3.3529249999999997E-2</v>
      </c>
      <c r="R44">
        <f>MAX($E21:R21)</f>
        <v>3.3529249999999997E-2</v>
      </c>
      <c r="S44">
        <f>MAX($E21:S21)</f>
        <v>3.3529249999999997E-2</v>
      </c>
      <c r="T44">
        <f>MAX($E21:T21)</f>
        <v>3.3529249999999997E-2</v>
      </c>
      <c r="U44">
        <f>MAX($E21:U21)</f>
        <v>3.3529249999999997E-2</v>
      </c>
      <c r="V44">
        <f>MAX($E21:V21)</f>
        <v>3.3529249999999997E-2</v>
      </c>
      <c r="W44">
        <f>MAX($E21:W21)</f>
        <v>3.3529249999999997E-2</v>
      </c>
      <c r="X44">
        <f>MAX($E21:X21)</f>
        <v>3.3529249999999997E-2</v>
      </c>
      <c r="Y44">
        <f>MAX($E21:Y21)</f>
        <v>3.3529249999999997E-2</v>
      </c>
      <c r="Z44">
        <f>MAX($E21:Z21)</f>
        <v>3.8165000000000199E-2</v>
      </c>
      <c r="AA44">
        <f>MAX($E21:AA21)</f>
        <v>3.8165000000000199E-2</v>
      </c>
      <c r="AB44">
        <f>MAX($E21:AB21)</f>
        <v>3.8165000000000199E-2</v>
      </c>
      <c r="AC44">
        <f>MAX($E21:AC21)</f>
        <v>3.8165000000000199E-2</v>
      </c>
      <c r="AD44">
        <f>MAX($E21:AD21)</f>
        <v>3.8165000000000199E-2</v>
      </c>
      <c r="AE44">
        <f>MAX($E21:AE21)</f>
        <v>3.8165000000000199E-2</v>
      </c>
      <c r="AF44">
        <f>MAX($E21:AF21)</f>
        <v>3.8165000000000199E-2</v>
      </c>
      <c r="AG44">
        <f>MAX($E21:AG21)</f>
        <v>0.15171000000000001</v>
      </c>
      <c r="AH44">
        <f>MAX($E21:AH21)</f>
        <v>0.27155999999999902</v>
      </c>
      <c r="AI44">
        <f>MAX($E21:AI21)</f>
        <v>0.27155999999999902</v>
      </c>
      <c r="AJ44">
        <f>MAX($E21:AJ21)</f>
        <v>0.27155999999999902</v>
      </c>
      <c r="AK44">
        <f>MAX($E21:AK21)</f>
        <v>0.27155999999999902</v>
      </c>
      <c r="AL44">
        <f>MAX($E21:AL21)</f>
        <v>0.27155999999999902</v>
      </c>
      <c r="AM44">
        <f>MAX($E21:AM21)</f>
        <v>0.47391</v>
      </c>
      <c r="AN44">
        <f>MAX($E21:AN21)</f>
        <v>0.47391</v>
      </c>
      <c r="AO44">
        <f>MAX($E21:AO21)</f>
        <v>0.49807249999999897</v>
      </c>
      <c r="AP44">
        <f>MAX($E21:AP21)</f>
        <v>0.53790499999999997</v>
      </c>
      <c r="AQ44">
        <f>MAX($E21:AQ21)</f>
        <v>0.57879250000000104</v>
      </c>
      <c r="AR44">
        <f>MAX($E21:AR21)</f>
        <v>0.57879250000000104</v>
      </c>
      <c r="AS44">
        <f>MAX($E21:AS21)</f>
        <v>0.61185500000000104</v>
      </c>
      <c r="AT44">
        <f>MAX($E21:AT21)</f>
        <v>0.74724000000000002</v>
      </c>
      <c r="AU44">
        <f>MAX($E21:AU21)</f>
        <v>0.769015</v>
      </c>
      <c r="AV44">
        <f>MAX($E21:AV21)</f>
        <v>0.77693000000000001</v>
      </c>
      <c r="AW44">
        <f>MAX($E21:AW21)</f>
        <v>0.77693000000000001</v>
      </c>
      <c r="AX44">
        <f>MAX($E21:AX21)</f>
        <v>0.83734000000000097</v>
      </c>
      <c r="AY44">
        <f>MAX($E21:AY21)</f>
        <v>0.92072750000000003</v>
      </c>
      <c r="AZ44">
        <f>MAX($E21:AZ21)</f>
        <v>0.92072750000000003</v>
      </c>
      <c r="BA44">
        <f>MAX($E21:BA21)</f>
        <v>1.007765</v>
      </c>
      <c r="BB44">
        <f>MAX($E21:BB21)</f>
        <v>1.007765</v>
      </c>
      <c r="BC44">
        <f>MAX($E21:BC21)</f>
        <v>1.007765</v>
      </c>
      <c r="BD44">
        <f>MAX($E21:BD21)</f>
        <v>1.007765</v>
      </c>
      <c r="BE44">
        <f>MAX($E21:BE21)</f>
        <v>1.10158</v>
      </c>
      <c r="BF44">
        <f>MAX($E21:BF21)</f>
        <v>1.10158</v>
      </c>
      <c r="BG44">
        <f>MAX($E21:BG21)</f>
        <v>1.10158</v>
      </c>
      <c r="BH44">
        <f>MAX($E21:BH21)</f>
        <v>1.10158</v>
      </c>
      <c r="BI44">
        <f>MAX($E21:BI21)</f>
        <v>1.10158</v>
      </c>
      <c r="BJ44">
        <f>MAX($E21:BJ21)</f>
        <v>1.10158</v>
      </c>
      <c r="BK44">
        <f>MAX($E21:BK21)</f>
        <v>1.1738774999999999</v>
      </c>
      <c r="BL44">
        <f>MAX($E21:BL21)</f>
        <v>1.1738774999999999</v>
      </c>
      <c r="BM44">
        <f>MAX($E21:BM21)</f>
        <v>1.1738774999999999</v>
      </c>
      <c r="BN44">
        <f>MAX($E21:BN21)</f>
        <v>1.1738774999999999</v>
      </c>
      <c r="BO44">
        <f>MAX($E21:BO21)</f>
        <v>1.1738774999999999</v>
      </c>
      <c r="BP44">
        <f>MAX($E21:BP21)</f>
        <v>1.1738774999999999</v>
      </c>
      <c r="BQ44">
        <f>MAX($E21:BQ21)</f>
        <v>1.1738774999999999</v>
      </c>
      <c r="BR44">
        <f>MAX($E21:BR21)</f>
        <v>1.1738774999999999</v>
      </c>
      <c r="BS44">
        <f>MAX($E21:BS21)</f>
        <v>1.1738774999999999</v>
      </c>
      <c r="BT44">
        <f>MAX($E21:BT21)</f>
        <v>1.1738774999999999</v>
      </c>
      <c r="BU44">
        <f>MAX($E21:BU21)</f>
        <v>1.2376149999999999</v>
      </c>
      <c r="BV44">
        <f>MAX($E21:BV21)</f>
        <v>1.2376149999999999</v>
      </c>
      <c r="BW44">
        <f>MAX($E21:BW21)</f>
        <v>1.2376149999999999</v>
      </c>
      <c r="BX44">
        <f>MAX($E21:BX21)</f>
        <v>1.2376149999999999</v>
      </c>
      <c r="BY44">
        <f>MAX($E21:BY21)</f>
        <v>1.2376149999999999</v>
      </c>
      <c r="BZ44">
        <f>MAX($E21:BZ21)</f>
        <v>1.26427</v>
      </c>
      <c r="CA44">
        <f>MAX($E21:CA21)</f>
        <v>1.2658</v>
      </c>
      <c r="CB44">
        <f>MAX($E21:CB21)</f>
        <v>1.2658</v>
      </c>
      <c r="CC44">
        <f>MAX($E21:CC21)</f>
        <v>1.2658</v>
      </c>
      <c r="CD44">
        <f>MAX($E21:CD21)</f>
        <v>1.2658</v>
      </c>
      <c r="CE44">
        <f>MAX($E21:CE21)</f>
        <v>1.2658</v>
      </c>
      <c r="CF44">
        <f>MAX($E21:CF21)</f>
        <v>1.2658</v>
      </c>
      <c r="CG44">
        <f>MAX($E21:CG21)</f>
        <v>1.2658</v>
      </c>
      <c r="CH44">
        <f>MAX($E21:CH21)</f>
        <v>1.2658</v>
      </c>
      <c r="CI44">
        <f>MAX($E21:CI21)</f>
        <v>1.2658</v>
      </c>
      <c r="CJ44">
        <f>MAX($E21:CJ21)</f>
        <v>1.2658</v>
      </c>
      <c r="CK44">
        <f>MAX($E21:CK21)</f>
        <v>1.2658</v>
      </c>
      <c r="CL44">
        <f>MAX($E21:CL21)</f>
        <v>1.2658</v>
      </c>
      <c r="CM44">
        <f>MAX($E21:CM21)</f>
        <v>1.2658</v>
      </c>
      <c r="CN44">
        <f>MAX($E21:CN21)</f>
        <v>1.2658</v>
      </c>
      <c r="CO44">
        <f>MAX($E21:CO21)</f>
        <v>1.2658</v>
      </c>
      <c r="CP44">
        <f>MAX($E21:CP21)</f>
        <v>1.2658</v>
      </c>
      <c r="CQ44">
        <f>MAX($E21:CQ21)</f>
        <v>1.2658</v>
      </c>
    </row>
    <row r="45" spans="1:96" x14ac:dyDescent="0.25">
      <c r="A45">
        <f t="shared" ref="A45:C45" si="25">A22</f>
        <v>1.80733145683511</v>
      </c>
      <c r="B45">
        <f t="shared" si="25"/>
        <v>2.0928898270150573</v>
      </c>
      <c r="C45">
        <f t="shared" si="25"/>
        <v>0.55330193928629989</v>
      </c>
      <c r="E45">
        <f>MAX($E22:E22)</f>
        <v>0</v>
      </c>
      <c r="F45">
        <f>MAX($E22:F22)</f>
        <v>3.7407999999999997E-2</v>
      </c>
      <c r="G45">
        <f>MAX($E22:G22)</f>
        <v>4.0312749999999897E-2</v>
      </c>
      <c r="H45">
        <f>MAX($E22:H22)</f>
        <v>4.0312749999999897E-2</v>
      </c>
      <c r="I45">
        <f>MAX($E22:I22)</f>
        <v>4.0312749999999897E-2</v>
      </c>
      <c r="J45">
        <f>MAX($E22:J22)</f>
        <v>4.0312749999999897E-2</v>
      </c>
      <c r="K45">
        <f>MAX($E22:K22)</f>
        <v>4.0312749999999897E-2</v>
      </c>
      <c r="L45">
        <f>MAX($E22:L22)</f>
        <v>4.0312749999999897E-2</v>
      </c>
      <c r="M45">
        <f>MAX($E22:M22)</f>
        <v>4.0312749999999897E-2</v>
      </c>
      <c r="N45">
        <f>MAX($E22:N22)</f>
        <v>4.0312749999999897E-2</v>
      </c>
      <c r="O45">
        <f>MAX($E22:O22)</f>
        <v>4.0312749999999897E-2</v>
      </c>
      <c r="P45">
        <f>MAX($E22:P22)</f>
        <v>4.0312749999999897E-2</v>
      </c>
      <c r="Q45">
        <f>MAX($E22:Q22)</f>
        <v>4.0312749999999897E-2</v>
      </c>
      <c r="R45">
        <f>MAX($E22:R22)</f>
        <v>4.0312749999999897E-2</v>
      </c>
      <c r="S45">
        <f>MAX($E22:S22)</f>
        <v>4.0312749999999897E-2</v>
      </c>
      <c r="T45">
        <f>MAX($E22:T22)</f>
        <v>4.0312749999999897E-2</v>
      </c>
      <c r="U45">
        <f>MAX($E22:U22)</f>
        <v>4.0312749999999897E-2</v>
      </c>
      <c r="V45">
        <f>MAX($E22:V22)</f>
        <v>4.0312749999999897E-2</v>
      </c>
      <c r="W45">
        <f>MAX($E22:W22)</f>
        <v>4.0312749999999897E-2</v>
      </c>
      <c r="X45">
        <f>MAX($E22:X22)</f>
        <v>4.0312749999999897E-2</v>
      </c>
      <c r="Y45">
        <f>MAX($E22:Y22)</f>
        <v>4.0312749999999897E-2</v>
      </c>
      <c r="Z45">
        <f>MAX($E22:Z22)</f>
        <v>7.0825000000000596E-2</v>
      </c>
      <c r="AA45">
        <f>MAX($E22:AA22)</f>
        <v>7.0825000000000596E-2</v>
      </c>
      <c r="AB45">
        <f>MAX($E22:AB22)</f>
        <v>7.0825000000000596E-2</v>
      </c>
      <c r="AC45">
        <f>MAX($E22:AC22)</f>
        <v>7.0825000000000596E-2</v>
      </c>
      <c r="AD45">
        <f>MAX($E22:AD22)</f>
        <v>7.0825000000000596E-2</v>
      </c>
      <c r="AE45">
        <f>MAX($E22:AE22)</f>
        <v>7.0825000000000596E-2</v>
      </c>
      <c r="AF45">
        <f>MAX($E22:AF22)</f>
        <v>7.0825000000000596E-2</v>
      </c>
      <c r="AG45">
        <f>MAX($E22:AG22)</f>
        <v>7.0825000000000596E-2</v>
      </c>
      <c r="AH45">
        <f>MAX($E22:AH22)</f>
        <v>0.16723249999999901</v>
      </c>
      <c r="AI45">
        <f>MAX($E22:AI22)</f>
        <v>0.16723249999999901</v>
      </c>
      <c r="AJ45">
        <f>MAX($E22:AJ22)</f>
        <v>0.16723249999999901</v>
      </c>
      <c r="AK45">
        <f>MAX($E22:AK22)</f>
        <v>0.16723249999999901</v>
      </c>
      <c r="AL45">
        <f>MAX($E22:AL22)</f>
        <v>0.16723249999999901</v>
      </c>
      <c r="AM45">
        <f>MAX($E22:AM22)</f>
        <v>0.32795249999999898</v>
      </c>
      <c r="AN45">
        <f>MAX($E22:AN22)</f>
        <v>0.32795249999999898</v>
      </c>
      <c r="AO45">
        <f>MAX($E22:AO22)</f>
        <v>0.355350000000001</v>
      </c>
      <c r="AP45">
        <f>MAX($E22:AP22)</f>
        <v>0.36184500000000103</v>
      </c>
      <c r="AQ45">
        <f>MAX($E22:AQ22)</f>
        <v>0.40137250000000102</v>
      </c>
      <c r="AR45">
        <f>MAX($E22:AR22)</f>
        <v>0.40137250000000102</v>
      </c>
      <c r="AS45">
        <f>MAX($E22:AS22)</f>
        <v>0.41840000000000099</v>
      </c>
      <c r="AT45">
        <f>MAX($E22:AT22)</f>
        <v>0.57515499999999997</v>
      </c>
      <c r="AU45">
        <f>MAX($E22:AU22)</f>
        <v>0.60188249999999999</v>
      </c>
      <c r="AV45">
        <f>MAX($E22:AV22)</f>
        <v>0.60611250000000005</v>
      </c>
      <c r="AW45">
        <f>MAX($E22:AW22)</f>
        <v>0.60611250000000005</v>
      </c>
      <c r="AX45">
        <f>MAX($E22:AX22)</f>
        <v>0.66849250000000005</v>
      </c>
      <c r="AY45">
        <f>MAX($E22:AY22)</f>
        <v>0.7682525</v>
      </c>
      <c r="AZ45">
        <f>MAX($E22:AZ22)</f>
        <v>0.7682525</v>
      </c>
      <c r="BA45">
        <f>MAX($E22:BA22)</f>
        <v>0.8742375</v>
      </c>
      <c r="BB45">
        <f>MAX($E22:BB22)</f>
        <v>0.8742375</v>
      </c>
      <c r="BC45">
        <f>MAX($E22:BC22)</f>
        <v>0.8742375</v>
      </c>
      <c r="BD45">
        <f>MAX($E22:BD22)</f>
        <v>0.8742375</v>
      </c>
      <c r="BE45">
        <f>MAX($E22:BE22)</f>
        <v>0.98578250000000001</v>
      </c>
      <c r="BF45">
        <f>MAX($E22:BF22)</f>
        <v>0.98578250000000001</v>
      </c>
      <c r="BG45">
        <f>MAX($E22:BG22)</f>
        <v>0.98578250000000001</v>
      </c>
      <c r="BH45">
        <f>MAX($E22:BH22)</f>
        <v>0.98578250000000001</v>
      </c>
      <c r="BI45">
        <f>MAX($E22:BI22)</f>
        <v>0.98578250000000001</v>
      </c>
      <c r="BJ45">
        <f>MAX($E22:BJ22)</f>
        <v>0.98578250000000001</v>
      </c>
      <c r="BK45">
        <f>MAX($E22:BK22)</f>
        <v>1.0561225000000001</v>
      </c>
      <c r="BL45">
        <f>MAX($E22:BL22)</f>
        <v>1.0561225000000001</v>
      </c>
      <c r="BM45">
        <f>MAX($E22:BM22)</f>
        <v>1.0561225000000001</v>
      </c>
      <c r="BN45">
        <f>MAX($E22:BN22)</f>
        <v>1.0561225000000001</v>
      </c>
      <c r="BO45">
        <f>MAX($E22:BO22)</f>
        <v>1.0561225000000001</v>
      </c>
      <c r="BP45">
        <f>MAX($E22:BP22)</f>
        <v>1.0561225000000001</v>
      </c>
      <c r="BQ45">
        <f>MAX($E22:BQ22)</f>
        <v>1.0561225000000001</v>
      </c>
      <c r="BR45">
        <f>MAX($E22:BR22)</f>
        <v>1.0561225000000001</v>
      </c>
      <c r="BS45">
        <f>MAX($E22:BS22)</f>
        <v>1.0561225000000001</v>
      </c>
      <c r="BT45">
        <f>MAX($E22:BT22)</f>
        <v>1.0561225000000001</v>
      </c>
      <c r="BU45">
        <f>MAX($E22:BU22)</f>
        <v>1.1117375</v>
      </c>
      <c r="BV45">
        <f>MAX($E22:BV22)</f>
        <v>1.1117375</v>
      </c>
      <c r="BW45">
        <f>MAX($E22:BW22)</f>
        <v>1.1117375</v>
      </c>
      <c r="BX45">
        <f>MAX($E22:BX22)</f>
        <v>1.1117375</v>
      </c>
      <c r="BY45">
        <f>MAX($E22:BY22)</f>
        <v>1.1117375</v>
      </c>
      <c r="BZ45">
        <f>MAX($E22:BZ22)</f>
        <v>1.12743666666667</v>
      </c>
      <c r="CA45">
        <f>MAX($E22:CA22)</f>
        <v>1.12743666666667</v>
      </c>
      <c r="CB45">
        <f>MAX($E22:CB22)</f>
        <v>1.12743666666667</v>
      </c>
      <c r="CC45">
        <f>MAX($E22:CC22)</f>
        <v>1.12743666666667</v>
      </c>
      <c r="CD45">
        <f>MAX($E22:CD22)</f>
        <v>1.12743666666667</v>
      </c>
      <c r="CE45">
        <f>MAX($E22:CE22)</f>
        <v>1.12743666666667</v>
      </c>
      <c r="CF45">
        <f>MAX($E22:CF22)</f>
        <v>1.12743666666667</v>
      </c>
      <c r="CG45">
        <f>MAX($E22:CG22)</f>
        <v>1.12743666666667</v>
      </c>
      <c r="CH45">
        <f>MAX($E22:CH22)</f>
        <v>1.12743666666667</v>
      </c>
      <c r="CI45">
        <f>MAX($E22:CI22)</f>
        <v>1.12743666666667</v>
      </c>
      <c r="CJ45">
        <f>MAX($E22:CJ22)</f>
        <v>1.12743666666667</v>
      </c>
      <c r="CK45">
        <f>MAX($E22:CK22)</f>
        <v>1.12743666666667</v>
      </c>
      <c r="CL45">
        <f>MAX($E22:CL22)</f>
        <v>1.12743666666667</v>
      </c>
      <c r="CM45">
        <f>MAX($E22:CM22)</f>
        <v>1.12743666666667</v>
      </c>
      <c r="CN45">
        <f>MAX($E22:CN22)</f>
        <v>1.12743666666667</v>
      </c>
      <c r="CO45">
        <f>MAX($E22:CO22)</f>
        <v>1.12743666666667</v>
      </c>
      <c r="CP45">
        <f>MAX($E22:CP22)</f>
        <v>1.12743666666667</v>
      </c>
      <c r="CQ45">
        <f>MAX($E22:CQ22)</f>
        <v>1.12743666666667</v>
      </c>
    </row>
    <row r="47" spans="1:96" x14ac:dyDescent="0.25">
      <c r="C47" s="2"/>
      <c r="D47" s="2" t="s">
        <v>1</v>
      </c>
      <c r="E47">
        <f>MAX(E26:E45)</f>
        <v>0</v>
      </c>
      <c r="F47">
        <f t="shared" ref="F47:BQ47" si="26">MAX(F26:F45)</f>
        <v>9.6914500000000001E-2</v>
      </c>
      <c r="G47">
        <f t="shared" si="26"/>
        <v>9.6914500000000001E-2</v>
      </c>
      <c r="H47">
        <f t="shared" si="26"/>
        <v>0.72158949999999999</v>
      </c>
      <c r="I47">
        <f t="shared" si="26"/>
        <v>0.72212825000000003</v>
      </c>
      <c r="J47">
        <f t="shared" si="26"/>
        <v>0.72212825000000003</v>
      </c>
      <c r="K47">
        <f t="shared" si="26"/>
        <v>0.72212825000000003</v>
      </c>
      <c r="L47">
        <f t="shared" si="26"/>
        <v>0.83152174999999995</v>
      </c>
      <c r="M47">
        <f t="shared" si="26"/>
        <v>0.84141900000000003</v>
      </c>
      <c r="N47">
        <f t="shared" si="26"/>
        <v>0.84141900000000003</v>
      </c>
      <c r="O47">
        <f t="shared" si="26"/>
        <v>0.90917999999999999</v>
      </c>
      <c r="P47">
        <f t="shared" si="26"/>
        <v>0.91796750000000005</v>
      </c>
      <c r="Q47">
        <f t="shared" si="26"/>
        <v>1.0343074999999999</v>
      </c>
      <c r="R47">
        <f t="shared" si="26"/>
        <v>1.0343074999999999</v>
      </c>
      <c r="S47">
        <f t="shared" si="26"/>
        <v>1.0343074999999999</v>
      </c>
      <c r="T47">
        <f t="shared" si="26"/>
        <v>1.090365</v>
      </c>
      <c r="U47">
        <f t="shared" si="26"/>
        <v>1.0936952499999999</v>
      </c>
      <c r="V47">
        <f t="shared" si="26"/>
        <v>1.0936952499999999</v>
      </c>
      <c r="W47">
        <f t="shared" si="26"/>
        <v>1.1353545</v>
      </c>
      <c r="X47">
        <f t="shared" si="26"/>
        <v>1.1371785000000001</v>
      </c>
      <c r="Y47">
        <f t="shared" si="26"/>
        <v>1.1371785000000001</v>
      </c>
      <c r="Z47">
        <f t="shared" si="26"/>
        <v>1.1862410000000001</v>
      </c>
      <c r="AA47">
        <f t="shared" si="26"/>
        <v>1.1862410000000001</v>
      </c>
      <c r="AB47">
        <f t="shared" si="26"/>
        <v>1.1862410000000001</v>
      </c>
      <c r="AC47">
        <f t="shared" si="26"/>
        <v>1.1914450000000001</v>
      </c>
      <c r="AD47">
        <f t="shared" si="26"/>
        <v>1.26797</v>
      </c>
      <c r="AE47">
        <f t="shared" si="26"/>
        <v>1.2698725</v>
      </c>
      <c r="AF47">
        <f t="shared" si="26"/>
        <v>1.2698725</v>
      </c>
      <c r="AG47">
        <f t="shared" si="26"/>
        <v>1.3136675</v>
      </c>
      <c r="AH47">
        <f t="shared" si="26"/>
        <v>1.4161925</v>
      </c>
      <c r="AI47">
        <f t="shared" si="26"/>
        <v>1.4161925</v>
      </c>
      <c r="AJ47">
        <f t="shared" si="26"/>
        <v>1.4778899999999999</v>
      </c>
      <c r="AK47">
        <f t="shared" si="26"/>
        <v>1.5733425000000001</v>
      </c>
      <c r="AL47">
        <f t="shared" si="26"/>
        <v>1.5733425000000001</v>
      </c>
      <c r="AM47">
        <f t="shared" si="26"/>
        <v>1.7892874999999999</v>
      </c>
      <c r="AN47">
        <f t="shared" si="26"/>
        <v>1.7892874999999999</v>
      </c>
      <c r="AO47">
        <f t="shared" si="26"/>
        <v>1.8152725000000001</v>
      </c>
      <c r="AP47">
        <f t="shared" si="26"/>
        <v>1.88581</v>
      </c>
      <c r="AQ47">
        <f t="shared" si="26"/>
        <v>1.88605</v>
      </c>
      <c r="AR47">
        <f t="shared" si="26"/>
        <v>1.88605</v>
      </c>
      <c r="AS47">
        <f t="shared" si="26"/>
        <v>1.88605</v>
      </c>
      <c r="AT47">
        <f t="shared" si="26"/>
        <v>1.88605</v>
      </c>
      <c r="AU47">
        <f t="shared" si="26"/>
        <v>1.88605</v>
      </c>
      <c r="AV47">
        <f t="shared" si="26"/>
        <v>1.88605</v>
      </c>
      <c r="AW47">
        <f t="shared" si="26"/>
        <v>1.88605</v>
      </c>
      <c r="AX47">
        <f t="shared" si="26"/>
        <v>1.88605</v>
      </c>
      <c r="AY47">
        <f t="shared" si="26"/>
        <v>1.950245</v>
      </c>
      <c r="AZ47">
        <f t="shared" si="26"/>
        <v>1.950245</v>
      </c>
      <c r="BA47">
        <f t="shared" si="26"/>
        <v>2.059415</v>
      </c>
      <c r="BB47">
        <f t="shared" si="26"/>
        <v>2.059415</v>
      </c>
      <c r="BC47">
        <f t="shared" si="26"/>
        <v>2.059415</v>
      </c>
      <c r="BD47">
        <f t="shared" si="26"/>
        <v>2.059415</v>
      </c>
      <c r="BE47">
        <f t="shared" si="26"/>
        <v>2.1547125</v>
      </c>
      <c r="BF47">
        <f t="shared" si="26"/>
        <v>2.1547125</v>
      </c>
      <c r="BG47">
        <f t="shared" si="26"/>
        <v>2.1547125</v>
      </c>
      <c r="BH47">
        <f t="shared" si="26"/>
        <v>2.1547125</v>
      </c>
      <c r="BI47">
        <f t="shared" si="26"/>
        <v>2.1547125</v>
      </c>
      <c r="BJ47">
        <f t="shared" si="26"/>
        <v>2.1547125</v>
      </c>
      <c r="BK47">
        <f t="shared" si="26"/>
        <v>2.2048624999999999</v>
      </c>
      <c r="BL47">
        <f t="shared" si="26"/>
        <v>2.2048624999999999</v>
      </c>
      <c r="BM47">
        <f t="shared" si="26"/>
        <v>2.2048624999999999</v>
      </c>
      <c r="BN47">
        <f t="shared" si="26"/>
        <v>2.2048624999999999</v>
      </c>
      <c r="BO47">
        <f t="shared" si="26"/>
        <v>2.2850025</v>
      </c>
      <c r="BP47">
        <f t="shared" si="26"/>
        <v>2.2850025</v>
      </c>
      <c r="BQ47">
        <f t="shared" si="26"/>
        <v>2.2850025</v>
      </c>
      <c r="BR47">
        <f t="shared" ref="BR47:CQ47" si="27">MAX(BR26:BR45)</f>
        <v>2.3149899999999999</v>
      </c>
      <c r="BS47">
        <f t="shared" si="27"/>
        <v>2.3195049999999999</v>
      </c>
      <c r="BT47">
        <f t="shared" si="27"/>
        <v>2.3195049999999999</v>
      </c>
      <c r="BU47">
        <f t="shared" si="27"/>
        <v>2.4279275</v>
      </c>
      <c r="BV47">
        <f t="shared" si="27"/>
        <v>2.4279275</v>
      </c>
      <c r="BW47">
        <f t="shared" si="27"/>
        <v>2.4279275</v>
      </c>
      <c r="BX47">
        <f t="shared" si="27"/>
        <v>2.4279275</v>
      </c>
      <c r="BY47">
        <f t="shared" si="27"/>
        <v>2.4279275</v>
      </c>
      <c r="BZ47">
        <f t="shared" si="27"/>
        <v>2.4295225</v>
      </c>
      <c r="CA47">
        <f t="shared" si="27"/>
        <v>2.4298600000000001</v>
      </c>
      <c r="CB47">
        <f t="shared" si="27"/>
        <v>2.4298600000000001</v>
      </c>
      <c r="CC47">
        <f t="shared" si="27"/>
        <v>2.4298600000000001</v>
      </c>
      <c r="CD47">
        <f t="shared" si="27"/>
        <v>2.4298600000000001</v>
      </c>
      <c r="CE47">
        <f t="shared" si="27"/>
        <v>2.4298600000000001</v>
      </c>
      <c r="CF47">
        <f t="shared" si="27"/>
        <v>2.4298600000000001</v>
      </c>
      <c r="CG47">
        <f t="shared" si="27"/>
        <v>2.4298600000000001</v>
      </c>
      <c r="CH47">
        <f t="shared" si="27"/>
        <v>2.4298600000000001</v>
      </c>
      <c r="CI47">
        <f t="shared" si="27"/>
        <v>2.4298600000000001</v>
      </c>
      <c r="CJ47">
        <f t="shared" si="27"/>
        <v>2.4298600000000001</v>
      </c>
      <c r="CK47">
        <f t="shared" si="27"/>
        <v>2.4298600000000001</v>
      </c>
      <c r="CL47">
        <f t="shared" si="27"/>
        <v>2.4298600000000001</v>
      </c>
      <c r="CM47">
        <f t="shared" si="27"/>
        <v>2.4298600000000001</v>
      </c>
      <c r="CN47">
        <f t="shared" si="27"/>
        <v>2.4298600000000001</v>
      </c>
      <c r="CO47">
        <f t="shared" si="27"/>
        <v>2.5023599999999999</v>
      </c>
      <c r="CP47">
        <f t="shared" si="27"/>
        <v>2.5673149999999998</v>
      </c>
      <c r="CQ47">
        <f t="shared" si="27"/>
        <v>2.5673149999999998</v>
      </c>
      <c r="CR47">
        <v>10</v>
      </c>
    </row>
    <row r="48" spans="1:96" x14ac:dyDescent="0.25">
      <c r="C48" s="2"/>
      <c r="D48" s="2" t="s">
        <v>38</v>
      </c>
      <c r="E48" s="8" cm="1">
        <f t="array" ref="E48">MAX($C26:$C45*E26:E45)</f>
        <v>0</v>
      </c>
      <c r="F48" s="8" cm="1">
        <f t="array" ref="F48">MAX($C26:$C45*F26:F45)</f>
        <v>2.8106708640117162E-2</v>
      </c>
      <c r="G48" s="8" cm="1">
        <f t="array" ref="G48">MAX($C26:$C45*G26:G45)</f>
        <v>2.8106708640117162E-2</v>
      </c>
      <c r="H48" s="8" cm="1">
        <f t="array" ref="H48">MAX($C26:$C45*H26:H45)</f>
        <v>0.20927215054783158</v>
      </c>
      <c r="I48" s="8" cm="1">
        <f t="array" ref="I48">MAX($C26:$C45*I26:I45)</f>
        <v>0.2094283964066026</v>
      </c>
      <c r="J48" s="8" cm="1">
        <f t="array" ref="J48">MAX($C26:$C45*J26:J45)</f>
        <v>0.2094283964066026</v>
      </c>
      <c r="K48" s="8" cm="1">
        <f t="array" ref="K48">MAX($C26:$C45*K26:K45)</f>
        <v>0.2094283964066026</v>
      </c>
      <c r="L48" s="8" cm="1">
        <f t="array" ref="L48">MAX($C26:$C45*L26:L45)</f>
        <v>0.24115420865990478</v>
      </c>
      <c r="M48" s="8" cm="1">
        <f t="array" ref="M48">MAX($C26:$C45*M26:M45)</f>
        <v>0.24402456471692827</v>
      </c>
      <c r="N48" s="8" cm="1">
        <f t="array" ref="N48">MAX($C26:$C45*N26:N45)</f>
        <v>0.24402456471692827</v>
      </c>
      <c r="O48" s="8" cm="1">
        <f t="array" ref="O48">MAX($C26:$C45*O26:O45)</f>
        <v>0.26367630603698849</v>
      </c>
      <c r="P48" s="8" cm="1">
        <f t="array" ref="P48">MAX($C26:$C45*P26:P45)</f>
        <v>0.26622481737610731</v>
      </c>
      <c r="Q48" s="8" cm="1">
        <f t="array" ref="Q48">MAX($C26:$C45*Q26:Q45)</f>
        <v>0.29996522240519202</v>
      </c>
      <c r="R48" s="8" cm="1">
        <f t="array" ref="R48">MAX($C26:$C45*R26:R45)</f>
        <v>0.29996522240519202</v>
      </c>
      <c r="S48" s="8" cm="1">
        <f t="array" ref="S48">MAX($C26:$C45*S26:S45)</f>
        <v>0.29996522240519202</v>
      </c>
      <c r="T48" s="8" cm="1">
        <f t="array" ref="T48">MAX($C26:$C45*T26:T45)</f>
        <v>0.31622276714404296</v>
      </c>
      <c r="U48" s="8" cm="1">
        <f t="array" ref="U48">MAX($C26:$C45*U26:U45)</f>
        <v>0.31718859131327198</v>
      </c>
      <c r="V48" s="8" cm="1">
        <f t="array" ref="V48">MAX($C26:$C45*V26:V45)</f>
        <v>0.31718859131327198</v>
      </c>
      <c r="W48" s="8" cm="1">
        <f t="array" ref="W48">MAX($C26:$C45*W26:W45)</f>
        <v>0.32927042016154345</v>
      </c>
      <c r="X48" s="8" cm="1">
        <f t="array" ref="X48">MAX($C26:$C45*X26:X45)</f>
        <v>0.32979940846112271</v>
      </c>
      <c r="Y48" s="8" cm="1">
        <f t="array" ref="Y48">MAX($C26:$C45*Y26:Y45)</f>
        <v>0.32979940846112271</v>
      </c>
      <c r="Z48" s="8" cm="1">
        <f t="array" ref="Z48">MAX($C26:$C45*Z26:Z45)</f>
        <v>0.34402829467170781</v>
      </c>
      <c r="AA48" s="8" cm="1">
        <f t="array" ref="AA48">MAX($C26:$C45*AA26:AA45)</f>
        <v>0.35248793338833256</v>
      </c>
      <c r="AB48" s="8" cm="1">
        <f t="array" ref="AB48">MAX($C26:$C45*AB26:AB45)</f>
        <v>0.35582173457109223</v>
      </c>
      <c r="AC48" s="8" cm="1">
        <f t="array" ref="AC48">MAX($C26:$C45*AC26:AC45)</f>
        <v>0.36660120089541087</v>
      </c>
      <c r="AD48" s="8" cm="1">
        <f t="array" ref="AD48">MAX($C26:$C45*AD26:AD45)</f>
        <v>0.39021474677297979</v>
      </c>
      <c r="AE48" s="8" cm="1">
        <f t="array" ref="AE48">MAX($C26:$C45*AE26:AE45)</f>
        <v>0.39052157604850274</v>
      </c>
      <c r="AF48" s="8" cm="1">
        <f t="array" ref="AF48">MAX($C26:$C45*AF26:AF45)</f>
        <v>0.39052157604850274</v>
      </c>
      <c r="AG48" s="8" cm="1">
        <f t="array" ref="AG48">MAX($C26:$C45*AG26:AG45)</f>
        <v>0.40098366309355543</v>
      </c>
      <c r="AH48" s="8" cm="1">
        <f t="array" ref="AH48">MAX($C26:$C45*AH26:AH45)</f>
        <v>0.42537878841507831</v>
      </c>
      <c r="AI48" s="8" cm="1">
        <f t="array" ref="AI48">MAX($C26:$C45*AI26:AI45)</f>
        <v>0.42537878841507831</v>
      </c>
      <c r="AJ48" s="8" cm="1">
        <f t="array" ref="AJ48">MAX($C26:$C45*AJ26:AJ45)</f>
        <v>0.42861102964100056</v>
      </c>
      <c r="AK48" s="8" cm="1">
        <f t="array" ref="AK48">MAX($C26:$C45*AK26:AK45)</f>
        <v>0.45629373559801206</v>
      </c>
      <c r="AL48" s="8" cm="1">
        <f t="array" ref="AL48">MAX($C26:$C45*AL26:AL45)</f>
        <v>0.45629373559801206</v>
      </c>
      <c r="AM48" s="8" cm="1">
        <f t="array" ref="AM48">MAX($C26:$C45*AM26:AM45)</f>
        <v>0.51892113601064482</v>
      </c>
      <c r="AN48" s="8" cm="1">
        <f t="array" ref="AN48">MAX($C26:$C45*AN26:AN45)</f>
        <v>0.51892113601064482</v>
      </c>
      <c r="AO48" s="8" cm="1">
        <f t="array" ref="AO48">MAX($C26:$C45*AO26:AO45)</f>
        <v>0.52645718917104334</v>
      </c>
      <c r="AP48" s="8" cm="1">
        <f t="array" ref="AP48">MAX($C26:$C45*AP26:AP45)</f>
        <v>0.54691415856883485</v>
      </c>
      <c r="AQ48" s="8" cm="1">
        <f t="array" ref="AQ48">MAX($C26:$C45*AQ26:AQ45)</f>
        <v>0.5469837622924637</v>
      </c>
      <c r="AR48" s="8" cm="1">
        <f t="array" ref="AR48">MAX($C26:$C45*AR26:AR45)</f>
        <v>0.5469837622924637</v>
      </c>
      <c r="AS48" s="8" cm="1">
        <f t="array" ref="AS48">MAX($C26:$C45*AS26:AS45)</f>
        <v>0.5469837622924637</v>
      </c>
      <c r="AT48" s="8" cm="1">
        <f t="array" ref="AT48">MAX($C26:$C45*AT26:AT45)</f>
        <v>0.5469837622924637</v>
      </c>
      <c r="AU48" s="8" cm="1">
        <f t="array" ref="AU48">MAX($C26:$C45*AU26:AU45)</f>
        <v>0.5469837622924637</v>
      </c>
      <c r="AV48" s="8" cm="1">
        <f t="array" ref="AV48">MAX($C26:$C45*AV26:AV45)</f>
        <v>0.5469837622924637</v>
      </c>
      <c r="AW48" s="8" cm="1">
        <f t="array" ref="AW48">MAX($C26:$C45*AW26:AW45)</f>
        <v>0.5469837622924637</v>
      </c>
      <c r="AX48" s="8" cm="1">
        <f t="array" ref="AX48">MAX($C26:$C45*AX26:AX45)</f>
        <v>0.5469837622924637</v>
      </c>
      <c r="AY48" s="8" cm="1">
        <f t="array" ref="AY48">MAX($C26:$C45*AY26:AY45)</f>
        <v>0.56560130828560529</v>
      </c>
      <c r="AZ48" s="8" cm="1">
        <f t="array" ref="AZ48">MAX($C26:$C45*AZ26:AZ45)</f>
        <v>0.56560130828560529</v>
      </c>
      <c r="BA48" s="8" cm="1">
        <f t="array" ref="BA48">MAX($C26:$C45*BA26:BA45)</f>
        <v>0.59726230207127817</v>
      </c>
      <c r="BB48" s="8" cm="1">
        <f t="array" ref="BB48">MAX($C26:$C45*BB26:BB45)</f>
        <v>0.59726230207127817</v>
      </c>
      <c r="BC48" s="8" cm="1">
        <f t="array" ref="BC48">MAX($C26:$C45*BC26:BC45)</f>
        <v>0.59726230207127817</v>
      </c>
      <c r="BD48" s="8" cm="1">
        <f t="array" ref="BD48">MAX($C26:$C45*BD26:BD45)</f>
        <v>0.59726230207127817</v>
      </c>
      <c r="BE48" s="8" cm="1">
        <f t="array" ref="BE48">MAX($C26:$C45*BE26:BE45)</f>
        <v>0.62490005562344597</v>
      </c>
      <c r="BF48" s="8" cm="1">
        <f t="array" ref="BF48">MAX($C26:$C45*BF26:BF45)</f>
        <v>0.62490005562344597</v>
      </c>
      <c r="BG48" s="8" cm="1">
        <f t="array" ref="BG48">MAX($C26:$C45*BG26:BG45)</f>
        <v>0.62490005562344597</v>
      </c>
      <c r="BH48" s="8" cm="1">
        <f t="array" ref="BH48">MAX($C26:$C45*BH26:BH45)</f>
        <v>0.62490005562344597</v>
      </c>
      <c r="BI48" s="8" cm="1">
        <f t="array" ref="BI48">MAX($C26:$C45*BI26:BI45)</f>
        <v>0.62490005562344597</v>
      </c>
      <c r="BJ48" s="8" cm="1">
        <f t="array" ref="BJ48">MAX($C26:$C45*BJ26:BJ45)</f>
        <v>0.62490005562344597</v>
      </c>
      <c r="BK48" s="8" cm="1">
        <f t="array" ref="BK48">MAX($C26:$C45*BK26:BK45)</f>
        <v>0.63944433370672427</v>
      </c>
      <c r="BL48" s="8" cm="1">
        <f t="array" ref="BL48">MAX($C26:$C45*BL26:BL45)</f>
        <v>0.63944433370672427</v>
      </c>
      <c r="BM48" s="8" cm="1">
        <f t="array" ref="BM48">MAX($C26:$C45*BM26:BM45)</f>
        <v>0.63944433370672427</v>
      </c>
      <c r="BN48" s="8" cm="1">
        <f t="array" ref="BN48">MAX($C26:$C45*BN26:BN45)</f>
        <v>0.63944433370672427</v>
      </c>
      <c r="BO48" s="8" cm="1">
        <f t="array" ref="BO48">MAX($C26:$C45*BO26:BO45)</f>
        <v>0.66268617708845756</v>
      </c>
      <c r="BP48" s="8" cm="1">
        <f t="array" ref="BP48">MAX($C26:$C45*BP26:BP45)</f>
        <v>0.66268617708845756</v>
      </c>
      <c r="BQ48" s="8" cm="1">
        <f t="array" ref="BQ48">MAX($C26:$C45*BQ26:BQ45)</f>
        <v>0.66268617708845756</v>
      </c>
      <c r="BR48" s="8" cm="1">
        <f t="array" ref="BR48">MAX($C26:$C45*BR26:BR45)</f>
        <v>0.67138301734812467</v>
      </c>
      <c r="BS48" s="8" cm="1">
        <f t="array" ref="BS48">MAX($C26:$C45*BS26:BS45)</f>
        <v>0.6726924373988924</v>
      </c>
      <c r="BT48" s="8" cm="1">
        <f t="array" ref="BT48">MAX($C26:$C45*BT26:BT45)</f>
        <v>0.6726924373988924</v>
      </c>
      <c r="BU48" s="8" cm="1">
        <f t="array" ref="BU48">MAX($C26:$C45*BU26:BU45)</f>
        <v>0.70413664458701286</v>
      </c>
      <c r="BV48" s="8" cm="1">
        <f t="array" ref="BV48">MAX($C26:$C45*BV26:BV45)</f>
        <v>0.70413664458701286</v>
      </c>
      <c r="BW48" s="8" cm="1">
        <f t="array" ref="BW48">MAX($C26:$C45*BW26:BW45)</f>
        <v>0.70413664458701286</v>
      </c>
      <c r="BX48" s="8" cm="1">
        <f t="array" ref="BX48">MAX($C26:$C45*BX26:BX45)</f>
        <v>0.70413664458701286</v>
      </c>
      <c r="BY48" s="8" cm="1">
        <f t="array" ref="BY48">MAX($C26:$C45*BY26:BY45)</f>
        <v>0.70413664458701286</v>
      </c>
      <c r="BZ48" s="8" cm="1">
        <f t="array" ref="BZ48">MAX($C26:$C45*BZ26:BZ45)</f>
        <v>0.70459921933362968</v>
      </c>
      <c r="CA48" s="8" cm="1">
        <f t="array" ref="CA48">MAX($C26:$C45*CA26:CA45)</f>
        <v>0.70469709956998272</v>
      </c>
      <c r="CB48" s="8" cm="1">
        <f t="array" ref="CB48">MAX($C26:$C45*CB26:CB45)</f>
        <v>0.70469709956998272</v>
      </c>
      <c r="CC48" s="8" cm="1">
        <f t="array" ref="CC48">MAX($C26:$C45*CC26:CC45)</f>
        <v>0.70469709956998272</v>
      </c>
      <c r="CD48" s="8" cm="1">
        <f t="array" ref="CD48">MAX($C26:$C45*CD26:CD45)</f>
        <v>0.70469709956998272</v>
      </c>
      <c r="CE48" s="8" cm="1">
        <f t="array" ref="CE48">MAX($C26:$C45*CE26:CE45)</f>
        <v>0.70469709956998272</v>
      </c>
      <c r="CF48" s="8" cm="1">
        <f t="array" ref="CF48">MAX($C26:$C45*CF26:CF45)</f>
        <v>0.70469709956998272</v>
      </c>
      <c r="CG48" s="8" cm="1">
        <f t="array" ref="CG48">MAX($C26:$C45*CG26:CG45)</f>
        <v>0.70469709956998272</v>
      </c>
      <c r="CH48" s="8" cm="1">
        <f t="array" ref="CH48">MAX($C26:$C45*CH26:CH45)</f>
        <v>0.70469709956998272</v>
      </c>
      <c r="CI48" s="8" cm="1">
        <f t="array" ref="CI48">MAX($C26:$C45*CI26:CI45)</f>
        <v>0.70469709956998272</v>
      </c>
      <c r="CJ48" s="8" cm="1">
        <f t="array" ref="CJ48">MAX($C26:$C45*CJ26:CJ45)</f>
        <v>0.70469709956998272</v>
      </c>
      <c r="CK48" s="8" cm="1">
        <f t="array" ref="CK48">MAX($C26:$C45*CK26:CK45)</f>
        <v>0.70469709956998272</v>
      </c>
      <c r="CL48" s="8" cm="1">
        <f t="array" ref="CL48">MAX($C26:$C45*CL26:CL45)</f>
        <v>0.70469709956998272</v>
      </c>
      <c r="CM48" s="8" cm="1">
        <f t="array" ref="CM48">MAX($C26:$C45*CM26:CM45)</f>
        <v>0.70469709956998272</v>
      </c>
      <c r="CN48" s="8" cm="1">
        <f t="array" ref="CN48">MAX($C26:$C45*CN26:CN45)</f>
        <v>0.70469709956998272</v>
      </c>
      <c r="CO48" s="8" cm="1">
        <f t="array" ref="CO48">MAX($C26:$C45*CO26:CO45)</f>
        <v>0.72572322441619763</v>
      </c>
      <c r="CP48" s="8" cm="1">
        <f t="array" ref="CP48">MAX($C26:$C45*CP26:CP45)</f>
        <v>0.74456118220083045</v>
      </c>
      <c r="CQ48" s="8" cm="1">
        <f t="array" ref="CQ48">MAX($C26:$C45*CQ26:CQ45)</f>
        <v>0.74456118220083045</v>
      </c>
      <c r="CR48">
        <v>10</v>
      </c>
    </row>
    <row r="49" spans="1:96" x14ac:dyDescent="0.25">
      <c r="C49" s="2"/>
      <c r="D49" s="2" t="s">
        <v>32</v>
      </c>
      <c r="E49">
        <f>MAX($E25:$CQ25)/E25</f>
        <v>6.7666666666666666</v>
      </c>
      <c r="F49">
        <f t="shared" ref="F49:BQ49" si="28">MAX($E25:$CQ25)/F25</f>
        <v>2.182795698924731</v>
      </c>
      <c r="G49">
        <f t="shared" si="28"/>
        <v>2.182795698924731</v>
      </c>
      <c r="H49">
        <f t="shared" si="28"/>
        <v>2.0927835051546393</v>
      </c>
      <c r="I49">
        <f t="shared" si="28"/>
        <v>2.0820512820512822</v>
      </c>
      <c r="J49">
        <f t="shared" si="28"/>
        <v>2.0820512820512822</v>
      </c>
      <c r="K49">
        <f t="shared" si="28"/>
        <v>2</v>
      </c>
      <c r="L49">
        <f t="shared" si="28"/>
        <v>1.9901960784313726</v>
      </c>
      <c r="M49">
        <f t="shared" si="28"/>
        <v>1.9804878048780488</v>
      </c>
      <c r="N49">
        <f t="shared" si="28"/>
        <v>1.9241706161137442</v>
      </c>
      <c r="O49">
        <f t="shared" si="28"/>
        <v>1.9150943396226414</v>
      </c>
      <c r="P49">
        <f t="shared" si="28"/>
        <v>1.8971962616822431</v>
      </c>
      <c r="Q49">
        <f t="shared" si="28"/>
        <v>1.7964601769911503</v>
      </c>
      <c r="R49">
        <f t="shared" si="28"/>
        <v>1.7964601769911503</v>
      </c>
      <c r="S49">
        <f t="shared" si="28"/>
        <v>1.7964601769911503</v>
      </c>
      <c r="T49">
        <f t="shared" si="28"/>
        <v>1.7964601769911503</v>
      </c>
      <c r="U49">
        <f t="shared" si="28"/>
        <v>1.7964601769911503</v>
      </c>
      <c r="V49">
        <f t="shared" si="28"/>
        <v>1.7964601769911503</v>
      </c>
      <c r="W49">
        <f t="shared" si="28"/>
        <v>1.7964601769911503</v>
      </c>
      <c r="X49">
        <f t="shared" si="28"/>
        <v>1.7964601769911503</v>
      </c>
      <c r="Y49">
        <f t="shared" si="28"/>
        <v>1.7964601769911503</v>
      </c>
      <c r="Z49">
        <f t="shared" si="28"/>
        <v>1.742489270386266</v>
      </c>
      <c r="AA49">
        <f t="shared" si="28"/>
        <v>1.5984251968503937</v>
      </c>
      <c r="AB49">
        <f t="shared" si="28"/>
        <v>1.5984251968503937</v>
      </c>
      <c r="AC49">
        <f t="shared" si="28"/>
        <v>1.5984251968503937</v>
      </c>
      <c r="AD49">
        <f t="shared" si="28"/>
        <v>1.4710144927536233</v>
      </c>
      <c r="AE49">
        <f t="shared" si="28"/>
        <v>1.4710144927536233</v>
      </c>
      <c r="AF49">
        <f t="shared" si="28"/>
        <v>1.4710144927536233</v>
      </c>
      <c r="AG49">
        <f t="shared" si="28"/>
        <v>1.460431654676259</v>
      </c>
      <c r="AH49">
        <f t="shared" si="28"/>
        <v>1.460431654676259</v>
      </c>
      <c r="AI49">
        <f t="shared" si="28"/>
        <v>1.4551971326164874</v>
      </c>
      <c r="AJ49">
        <f t="shared" si="28"/>
        <v>1.3311475409836067</v>
      </c>
      <c r="AK49">
        <f t="shared" si="28"/>
        <v>1.326797385620915</v>
      </c>
      <c r="AL49">
        <f t="shared" si="28"/>
        <v>1.326797385620915</v>
      </c>
      <c r="AM49">
        <f t="shared" si="28"/>
        <v>1.2340425531914894</v>
      </c>
      <c r="AN49">
        <f t="shared" si="28"/>
        <v>1.2340425531914894</v>
      </c>
      <c r="AO49">
        <f t="shared" si="28"/>
        <v>1.2340425531914894</v>
      </c>
      <c r="AP49">
        <f t="shared" si="28"/>
        <v>1.1534090909090908</v>
      </c>
      <c r="AQ49">
        <f t="shared" si="28"/>
        <v>1.1534090909090908</v>
      </c>
      <c r="AR49">
        <f t="shared" si="28"/>
        <v>1.1534090909090908</v>
      </c>
      <c r="AS49">
        <f t="shared" si="28"/>
        <v>1.1534090909090908</v>
      </c>
      <c r="AT49">
        <f t="shared" si="28"/>
        <v>1.1501416430594902</v>
      </c>
      <c r="AU49">
        <f t="shared" si="28"/>
        <v>1.1501416430594902</v>
      </c>
      <c r="AV49">
        <f t="shared" si="28"/>
        <v>1.1468926553672316</v>
      </c>
      <c r="AW49">
        <f t="shared" si="28"/>
        <v>1.1468926553672316</v>
      </c>
      <c r="AX49">
        <f t="shared" si="28"/>
        <v>1.1468926553672316</v>
      </c>
      <c r="AY49">
        <f t="shared" si="28"/>
        <v>1.1468926553672316</v>
      </c>
      <c r="AZ49">
        <f t="shared" si="28"/>
        <v>1.1468926553672316</v>
      </c>
      <c r="BA49">
        <f t="shared" si="28"/>
        <v>1.1032608695652173</v>
      </c>
      <c r="BB49">
        <f t="shared" si="28"/>
        <v>1.1032608695652173</v>
      </c>
      <c r="BC49">
        <f t="shared" si="28"/>
        <v>1.1002710027100271</v>
      </c>
      <c r="BD49">
        <f t="shared" si="28"/>
        <v>1.0884718498659518</v>
      </c>
      <c r="BE49">
        <f t="shared" si="28"/>
        <v>1.0656167979002624</v>
      </c>
      <c r="BF49">
        <f t="shared" si="28"/>
        <v>1.0656167979002624</v>
      </c>
      <c r="BG49">
        <f t="shared" si="28"/>
        <v>1.0656167979002624</v>
      </c>
      <c r="BH49">
        <f t="shared" si="28"/>
        <v>1.0518134715025906</v>
      </c>
      <c r="BI49">
        <f t="shared" si="28"/>
        <v>1.0490956072351421</v>
      </c>
      <c r="BJ49">
        <f t="shared" si="28"/>
        <v>1.0490956072351421</v>
      </c>
      <c r="BK49">
        <f t="shared" si="28"/>
        <v>1.0437017994858613</v>
      </c>
      <c r="BL49">
        <f t="shared" si="28"/>
        <v>1.0410256410256411</v>
      </c>
      <c r="BM49">
        <f t="shared" si="28"/>
        <v>1.0410256410256411</v>
      </c>
      <c r="BN49">
        <f t="shared" si="28"/>
        <v>1.0410256410256411</v>
      </c>
      <c r="BO49">
        <f t="shared" si="28"/>
        <v>1.0357142857142858</v>
      </c>
      <c r="BP49">
        <f t="shared" si="28"/>
        <v>1.0304568527918783</v>
      </c>
      <c r="BQ49">
        <f t="shared" si="28"/>
        <v>1.0304568527918783</v>
      </c>
      <c r="BR49">
        <f t="shared" ref="BR49:CQ49" si="29">MAX($E25:$CQ25)/BR25</f>
        <v>1.0278481012658227</v>
      </c>
      <c r="BS49">
        <f t="shared" si="29"/>
        <v>1.0278481012658227</v>
      </c>
      <c r="BT49">
        <f t="shared" si="29"/>
        <v>1.0252525252525253</v>
      </c>
      <c r="BU49">
        <f t="shared" si="29"/>
        <v>1.0252525252525253</v>
      </c>
      <c r="BV49">
        <f t="shared" si="29"/>
        <v>1.0226700251889169</v>
      </c>
      <c r="BW49">
        <f t="shared" si="29"/>
        <v>1.0226700251889169</v>
      </c>
      <c r="BX49">
        <f t="shared" si="29"/>
        <v>1.0201005025125629</v>
      </c>
      <c r="BY49">
        <f t="shared" si="29"/>
        <v>1.0201005025125629</v>
      </c>
      <c r="BZ49">
        <f t="shared" si="29"/>
        <v>1.0201005025125629</v>
      </c>
      <c r="CA49">
        <f t="shared" si="29"/>
        <v>1.0175438596491229</v>
      </c>
      <c r="CB49">
        <f t="shared" si="29"/>
        <v>1.0175438596491229</v>
      </c>
      <c r="CC49">
        <f t="shared" si="29"/>
        <v>1.0175438596491229</v>
      </c>
      <c r="CD49">
        <f t="shared" si="29"/>
        <v>1.0175438596491229</v>
      </c>
      <c r="CE49">
        <f t="shared" si="29"/>
        <v>1.0149999999999999</v>
      </c>
      <c r="CF49">
        <f t="shared" si="29"/>
        <v>1.0149999999999999</v>
      </c>
      <c r="CG49">
        <f t="shared" si="29"/>
        <v>1.0149999999999999</v>
      </c>
      <c r="CH49">
        <f t="shared" si="29"/>
        <v>1.0149999999999999</v>
      </c>
      <c r="CI49">
        <f t="shared" si="29"/>
        <v>1.0149999999999999</v>
      </c>
      <c r="CJ49">
        <f t="shared" si="29"/>
        <v>1.0149999999999999</v>
      </c>
      <c r="CK49">
        <f t="shared" si="29"/>
        <v>1.0149999999999999</v>
      </c>
      <c r="CL49">
        <f t="shared" si="29"/>
        <v>1.0149999999999999</v>
      </c>
      <c r="CM49">
        <f t="shared" si="29"/>
        <v>1.0149999999999999</v>
      </c>
      <c r="CN49">
        <f t="shared" si="29"/>
        <v>1.004950495049505</v>
      </c>
      <c r="CO49">
        <f t="shared" si="29"/>
        <v>1</v>
      </c>
      <c r="CP49">
        <f t="shared" si="29"/>
        <v>1</v>
      </c>
      <c r="CQ49">
        <f t="shared" si="29"/>
        <v>1</v>
      </c>
      <c r="CR49">
        <v>1</v>
      </c>
    </row>
    <row r="50" spans="1:96" x14ac:dyDescent="0.25">
      <c r="D50" s="2" t="s">
        <v>55</v>
      </c>
      <c r="E50" s="8">
        <f>E25/MAX($E25:$CQ25)</f>
        <v>0.14778325123152711</v>
      </c>
      <c r="F50" s="8">
        <f t="shared" ref="F50:BQ50" si="30">F25/MAX($E25:$CQ25)</f>
        <v>0.45812807881773399</v>
      </c>
      <c r="G50" s="8">
        <f t="shared" si="30"/>
        <v>0.45812807881773399</v>
      </c>
      <c r="H50" s="8">
        <f t="shared" si="30"/>
        <v>0.47783251231527096</v>
      </c>
      <c r="I50" s="8">
        <f t="shared" si="30"/>
        <v>0.48029556650246308</v>
      </c>
      <c r="J50" s="8">
        <f t="shared" si="30"/>
        <v>0.48029556650246308</v>
      </c>
      <c r="K50" s="8">
        <f t="shared" si="30"/>
        <v>0.5</v>
      </c>
      <c r="L50" s="8">
        <f t="shared" si="30"/>
        <v>0.50246305418719217</v>
      </c>
      <c r="M50" s="8">
        <f t="shared" si="30"/>
        <v>0.50492610837438423</v>
      </c>
      <c r="N50" s="8">
        <f t="shared" si="30"/>
        <v>0.51970443349753692</v>
      </c>
      <c r="O50" s="8">
        <f t="shared" si="30"/>
        <v>0.52216748768472909</v>
      </c>
      <c r="P50" s="8">
        <f t="shared" si="30"/>
        <v>0.52709359605911332</v>
      </c>
      <c r="Q50" s="8">
        <f t="shared" si="30"/>
        <v>0.55665024630541871</v>
      </c>
      <c r="R50" s="8">
        <f t="shared" si="30"/>
        <v>0.55665024630541871</v>
      </c>
      <c r="S50" s="8">
        <f t="shared" si="30"/>
        <v>0.55665024630541871</v>
      </c>
      <c r="T50" s="8">
        <f t="shared" si="30"/>
        <v>0.55665024630541871</v>
      </c>
      <c r="U50" s="8">
        <f t="shared" si="30"/>
        <v>0.55665024630541871</v>
      </c>
      <c r="V50" s="8">
        <f t="shared" si="30"/>
        <v>0.55665024630541871</v>
      </c>
      <c r="W50" s="8">
        <f t="shared" si="30"/>
        <v>0.55665024630541871</v>
      </c>
      <c r="X50" s="8">
        <f t="shared" si="30"/>
        <v>0.55665024630541871</v>
      </c>
      <c r="Y50" s="8">
        <f t="shared" si="30"/>
        <v>0.55665024630541871</v>
      </c>
      <c r="Z50" s="8">
        <f t="shared" si="30"/>
        <v>0.57389162561576357</v>
      </c>
      <c r="AA50" s="8">
        <f t="shared" si="30"/>
        <v>0.62561576354679804</v>
      </c>
      <c r="AB50" s="8">
        <f t="shared" si="30"/>
        <v>0.62561576354679804</v>
      </c>
      <c r="AC50" s="8">
        <f t="shared" si="30"/>
        <v>0.62561576354679804</v>
      </c>
      <c r="AD50" s="8">
        <f t="shared" si="30"/>
        <v>0.67980295566502458</v>
      </c>
      <c r="AE50" s="8">
        <f t="shared" si="30"/>
        <v>0.67980295566502458</v>
      </c>
      <c r="AF50" s="8">
        <f t="shared" si="30"/>
        <v>0.67980295566502458</v>
      </c>
      <c r="AG50" s="8">
        <f t="shared" si="30"/>
        <v>0.68472906403940892</v>
      </c>
      <c r="AH50" s="8">
        <f t="shared" si="30"/>
        <v>0.68472906403940892</v>
      </c>
      <c r="AI50" s="8">
        <f t="shared" si="30"/>
        <v>0.68719211822660098</v>
      </c>
      <c r="AJ50" s="8">
        <f t="shared" si="30"/>
        <v>0.75123152709359609</v>
      </c>
      <c r="AK50" s="8">
        <f t="shared" si="30"/>
        <v>0.75369458128078815</v>
      </c>
      <c r="AL50" s="8">
        <f t="shared" si="30"/>
        <v>0.75369458128078815</v>
      </c>
      <c r="AM50" s="8">
        <f t="shared" si="30"/>
        <v>0.81034482758620685</v>
      </c>
      <c r="AN50" s="8">
        <f t="shared" si="30"/>
        <v>0.81034482758620685</v>
      </c>
      <c r="AO50" s="8">
        <f t="shared" si="30"/>
        <v>0.81034482758620685</v>
      </c>
      <c r="AP50" s="8">
        <f t="shared" si="30"/>
        <v>0.86699507389162567</v>
      </c>
      <c r="AQ50" s="8">
        <f t="shared" si="30"/>
        <v>0.86699507389162567</v>
      </c>
      <c r="AR50" s="8">
        <f t="shared" si="30"/>
        <v>0.86699507389162567</v>
      </c>
      <c r="AS50" s="8">
        <f t="shared" si="30"/>
        <v>0.86699507389162567</v>
      </c>
      <c r="AT50" s="8">
        <f t="shared" si="30"/>
        <v>0.86945812807881773</v>
      </c>
      <c r="AU50" s="8">
        <f t="shared" si="30"/>
        <v>0.86945812807881773</v>
      </c>
      <c r="AV50" s="8">
        <f t="shared" si="30"/>
        <v>0.8719211822660099</v>
      </c>
      <c r="AW50" s="8">
        <f t="shared" si="30"/>
        <v>0.8719211822660099</v>
      </c>
      <c r="AX50" s="8">
        <f t="shared" si="30"/>
        <v>0.8719211822660099</v>
      </c>
      <c r="AY50" s="8">
        <f t="shared" si="30"/>
        <v>0.8719211822660099</v>
      </c>
      <c r="AZ50" s="8">
        <f t="shared" si="30"/>
        <v>0.8719211822660099</v>
      </c>
      <c r="BA50" s="8">
        <f t="shared" si="30"/>
        <v>0.90640394088669951</v>
      </c>
      <c r="BB50" s="8">
        <f t="shared" si="30"/>
        <v>0.90640394088669951</v>
      </c>
      <c r="BC50" s="8">
        <f t="shared" si="30"/>
        <v>0.90886699507389157</v>
      </c>
      <c r="BD50" s="8">
        <f t="shared" si="30"/>
        <v>0.91871921182266014</v>
      </c>
      <c r="BE50" s="8">
        <f t="shared" si="30"/>
        <v>0.93842364532019706</v>
      </c>
      <c r="BF50" s="8">
        <f t="shared" si="30"/>
        <v>0.93842364532019706</v>
      </c>
      <c r="BG50" s="8">
        <f t="shared" si="30"/>
        <v>0.93842364532019706</v>
      </c>
      <c r="BH50" s="8">
        <f t="shared" si="30"/>
        <v>0.95073891625615758</v>
      </c>
      <c r="BI50" s="8">
        <f t="shared" si="30"/>
        <v>0.95320197044334976</v>
      </c>
      <c r="BJ50" s="8">
        <f t="shared" si="30"/>
        <v>0.95320197044334976</v>
      </c>
      <c r="BK50" s="8">
        <f t="shared" si="30"/>
        <v>0.95812807881773399</v>
      </c>
      <c r="BL50" s="8">
        <f t="shared" si="30"/>
        <v>0.96059113300492616</v>
      </c>
      <c r="BM50" s="8">
        <f t="shared" si="30"/>
        <v>0.96059113300492616</v>
      </c>
      <c r="BN50" s="8">
        <f t="shared" si="30"/>
        <v>0.96059113300492616</v>
      </c>
      <c r="BO50" s="8">
        <f t="shared" si="30"/>
        <v>0.96551724137931039</v>
      </c>
      <c r="BP50" s="8">
        <f t="shared" si="30"/>
        <v>0.97044334975369462</v>
      </c>
      <c r="BQ50" s="8">
        <f t="shared" si="30"/>
        <v>0.97044334975369462</v>
      </c>
      <c r="BR50" s="8">
        <f t="shared" ref="BR50:CQ50" si="31">BR25/MAX($E25:$CQ25)</f>
        <v>0.97290640394088668</v>
      </c>
      <c r="BS50" s="8">
        <f t="shared" si="31"/>
        <v>0.97290640394088668</v>
      </c>
      <c r="BT50" s="8">
        <f t="shared" si="31"/>
        <v>0.97536945812807885</v>
      </c>
      <c r="BU50" s="8">
        <f t="shared" si="31"/>
        <v>0.97536945812807885</v>
      </c>
      <c r="BV50" s="8">
        <f t="shared" si="31"/>
        <v>0.97783251231527091</v>
      </c>
      <c r="BW50" s="8">
        <f t="shared" si="31"/>
        <v>0.97783251231527091</v>
      </c>
      <c r="BX50" s="8">
        <f t="shared" si="31"/>
        <v>0.98029556650246308</v>
      </c>
      <c r="BY50" s="8">
        <f t="shared" si="31"/>
        <v>0.98029556650246308</v>
      </c>
      <c r="BZ50" s="8">
        <f t="shared" si="31"/>
        <v>0.98029556650246308</v>
      </c>
      <c r="CA50" s="8">
        <f t="shared" si="31"/>
        <v>0.98275862068965514</v>
      </c>
      <c r="CB50" s="8">
        <f t="shared" si="31"/>
        <v>0.98275862068965514</v>
      </c>
      <c r="CC50" s="8">
        <f t="shared" si="31"/>
        <v>0.98275862068965514</v>
      </c>
      <c r="CD50" s="8">
        <f t="shared" si="31"/>
        <v>0.98275862068965514</v>
      </c>
      <c r="CE50" s="8">
        <f t="shared" si="31"/>
        <v>0.98522167487684731</v>
      </c>
      <c r="CF50" s="8">
        <f t="shared" si="31"/>
        <v>0.98522167487684731</v>
      </c>
      <c r="CG50" s="8">
        <f t="shared" si="31"/>
        <v>0.98522167487684731</v>
      </c>
      <c r="CH50" s="8">
        <f t="shared" si="31"/>
        <v>0.98522167487684731</v>
      </c>
      <c r="CI50" s="8">
        <f t="shared" si="31"/>
        <v>0.98522167487684731</v>
      </c>
      <c r="CJ50" s="8">
        <f t="shared" si="31"/>
        <v>0.98522167487684731</v>
      </c>
      <c r="CK50" s="8">
        <f t="shared" si="31"/>
        <v>0.98522167487684731</v>
      </c>
      <c r="CL50" s="8">
        <f t="shared" si="31"/>
        <v>0.98522167487684731</v>
      </c>
      <c r="CM50" s="8">
        <f t="shared" si="31"/>
        <v>0.98522167487684731</v>
      </c>
      <c r="CN50" s="8">
        <f t="shared" si="31"/>
        <v>0.99507389162561577</v>
      </c>
      <c r="CO50" s="8">
        <f t="shared" si="31"/>
        <v>1</v>
      </c>
      <c r="CP50" s="8">
        <f t="shared" si="31"/>
        <v>1</v>
      </c>
      <c r="CQ50" s="8">
        <f t="shared" si="31"/>
        <v>1</v>
      </c>
    </row>
    <row r="51" spans="1:96" x14ac:dyDescent="0.25">
      <c r="A51" s="2"/>
      <c r="B51" s="2"/>
      <c r="D51" s="2"/>
      <c r="E51" s="2"/>
      <c r="F51" s="2"/>
    </row>
  </sheetData>
  <conditionalFormatting sqref="D3:D21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2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BH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CQ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:CQ45"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D9E7-724C-4F84-94DB-DA0A5D5C9D5F}">
  <sheetPr codeName="Sheet5"/>
  <dimension ref="A1:CD52"/>
  <sheetViews>
    <sheetView workbookViewId="0"/>
  </sheetViews>
  <sheetFormatPr defaultRowHeight="15" x14ac:dyDescent="0.25"/>
  <sheetData>
    <row r="1" spans="1:81" x14ac:dyDescent="0.25">
      <c r="D1" s="2" t="s">
        <v>11</v>
      </c>
      <c r="E1">
        <v>0</v>
      </c>
      <c r="F1">
        <v>49</v>
      </c>
      <c r="G1">
        <v>51</v>
      </c>
      <c r="H1">
        <v>51</v>
      </c>
      <c r="I1">
        <v>100</v>
      </c>
      <c r="J1">
        <v>100</v>
      </c>
      <c r="K1">
        <v>100</v>
      </c>
      <c r="L1">
        <v>125</v>
      </c>
      <c r="M1">
        <v>125</v>
      </c>
      <c r="N1">
        <v>125</v>
      </c>
      <c r="O1">
        <v>148</v>
      </c>
      <c r="P1">
        <v>150</v>
      </c>
      <c r="Q1">
        <v>150</v>
      </c>
      <c r="R1">
        <v>152</v>
      </c>
      <c r="S1">
        <v>152</v>
      </c>
      <c r="T1">
        <v>112</v>
      </c>
      <c r="U1">
        <v>133</v>
      </c>
      <c r="V1">
        <v>116</v>
      </c>
      <c r="W1">
        <v>108</v>
      </c>
      <c r="X1">
        <v>131</v>
      </c>
      <c r="Y1">
        <v>148</v>
      </c>
      <c r="Z1">
        <v>149</v>
      </c>
      <c r="AA1">
        <v>150</v>
      </c>
      <c r="AB1">
        <v>159</v>
      </c>
      <c r="AC1">
        <v>151</v>
      </c>
      <c r="AD1">
        <v>142</v>
      </c>
      <c r="AE1">
        <v>175</v>
      </c>
      <c r="AF1">
        <v>175</v>
      </c>
      <c r="AG1">
        <v>175</v>
      </c>
      <c r="AH1">
        <v>150</v>
      </c>
      <c r="AI1">
        <v>150</v>
      </c>
      <c r="AJ1">
        <v>150</v>
      </c>
      <c r="AK1">
        <v>175</v>
      </c>
      <c r="AL1">
        <v>175</v>
      </c>
      <c r="AM1">
        <v>176</v>
      </c>
      <c r="AN1">
        <v>183</v>
      </c>
      <c r="AO1">
        <v>186</v>
      </c>
      <c r="AP1">
        <v>199</v>
      </c>
      <c r="AQ1">
        <v>200</v>
      </c>
      <c r="AR1">
        <v>200</v>
      </c>
      <c r="AS1">
        <v>209</v>
      </c>
      <c r="AT1">
        <v>210</v>
      </c>
      <c r="AU1">
        <v>210</v>
      </c>
      <c r="AV1">
        <v>211</v>
      </c>
      <c r="AW1">
        <v>209</v>
      </c>
      <c r="AX1">
        <v>213</v>
      </c>
      <c r="AY1">
        <v>224</v>
      </c>
      <c r="AZ1">
        <v>225</v>
      </c>
      <c r="BA1">
        <v>225</v>
      </c>
      <c r="BB1">
        <v>233</v>
      </c>
      <c r="BC1">
        <v>238</v>
      </c>
      <c r="BD1">
        <v>238</v>
      </c>
      <c r="BE1">
        <v>238</v>
      </c>
      <c r="BF1">
        <v>233</v>
      </c>
      <c r="BG1">
        <v>228</v>
      </c>
      <c r="BH1">
        <v>226</v>
      </c>
      <c r="BI1">
        <v>226</v>
      </c>
      <c r="BJ1">
        <v>226</v>
      </c>
      <c r="BK1">
        <v>228</v>
      </c>
      <c r="BL1">
        <v>229</v>
      </c>
      <c r="BM1">
        <v>232</v>
      </c>
      <c r="BN1">
        <v>235</v>
      </c>
      <c r="BO1">
        <v>236</v>
      </c>
      <c r="BP1">
        <v>236</v>
      </c>
      <c r="BQ1">
        <v>249</v>
      </c>
      <c r="BR1">
        <v>250</v>
      </c>
      <c r="BS1">
        <v>250</v>
      </c>
      <c r="BT1">
        <v>255</v>
      </c>
      <c r="BU1">
        <v>259</v>
      </c>
      <c r="BV1">
        <v>260</v>
      </c>
      <c r="BW1">
        <v>265</v>
      </c>
      <c r="BX1">
        <v>265</v>
      </c>
      <c r="BY1">
        <v>268</v>
      </c>
      <c r="BZ1">
        <v>266</v>
      </c>
      <c r="CA1">
        <v>268</v>
      </c>
      <c r="CB1">
        <v>269</v>
      </c>
      <c r="CC1">
        <v>269</v>
      </c>
    </row>
    <row r="2" spans="1:81" x14ac:dyDescent="0.25">
      <c r="A2" s="2" t="s">
        <v>10</v>
      </c>
      <c r="B2" s="2" t="s">
        <v>2</v>
      </c>
      <c r="C2" s="2" t="s">
        <v>37</v>
      </c>
      <c r="D2" s="2" t="s">
        <v>33</v>
      </c>
      <c r="E2">
        <f>30+E1*0.55555556</f>
        <v>30</v>
      </c>
      <c r="F2">
        <f t="shared" ref="F2:BQ2" si="0">30+F1*0.55555556</f>
        <v>57.222222439999996</v>
      </c>
      <c r="G2">
        <f t="shared" si="0"/>
        <v>58.33333356</v>
      </c>
      <c r="H2">
        <f t="shared" si="0"/>
        <v>58.33333356</v>
      </c>
      <c r="I2">
        <f t="shared" si="0"/>
        <v>85.555555999999996</v>
      </c>
      <c r="J2">
        <f t="shared" si="0"/>
        <v>85.555555999999996</v>
      </c>
      <c r="K2">
        <f t="shared" si="0"/>
        <v>85.555555999999996</v>
      </c>
      <c r="L2">
        <f t="shared" si="0"/>
        <v>99.444444999999988</v>
      </c>
      <c r="M2">
        <f t="shared" si="0"/>
        <v>99.444444999999988</v>
      </c>
      <c r="N2">
        <f t="shared" si="0"/>
        <v>99.444444999999988</v>
      </c>
      <c r="O2">
        <f t="shared" si="0"/>
        <v>112.22222287999999</v>
      </c>
      <c r="P2">
        <f t="shared" si="0"/>
        <v>113.33333399999999</v>
      </c>
      <c r="Q2">
        <f t="shared" si="0"/>
        <v>113.33333399999999</v>
      </c>
      <c r="R2">
        <f t="shared" si="0"/>
        <v>114.44444512</v>
      </c>
      <c r="S2">
        <f t="shared" si="0"/>
        <v>114.44444512</v>
      </c>
      <c r="T2">
        <f t="shared" si="0"/>
        <v>92.222222719999991</v>
      </c>
      <c r="U2">
        <f t="shared" si="0"/>
        <v>103.88888947999999</v>
      </c>
      <c r="V2">
        <f t="shared" si="0"/>
        <v>94.444444959999998</v>
      </c>
      <c r="W2">
        <f t="shared" si="0"/>
        <v>90.000000479999997</v>
      </c>
      <c r="X2">
        <f t="shared" si="0"/>
        <v>102.77777836</v>
      </c>
      <c r="Y2">
        <f t="shared" si="0"/>
        <v>112.22222287999999</v>
      </c>
      <c r="Z2">
        <f t="shared" si="0"/>
        <v>112.77777843999999</v>
      </c>
      <c r="AA2">
        <f t="shared" si="0"/>
        <v>113.33333399999999</v>
      </c>
      <c r="AB2">
        <f t="shared" si="0"/>
        <v>118.33333404</v>
      </c>
      <c r="AC2">
        <f t="shared" si="0"/>
        <v>113.88888956</v>
      </c>
      <c r="AD2">
        <f t="shared" si="0"/>
        <v>108.88888951999999</v>
      </c>
      <c r="AE2">
        <f t="shared" si="0"/>
        <v>127.22222299999999</v>
      </c>
      <c r="AF2">
        <f t="shared" si="0"/>
        <v>127.22222299999999</v>
      </c>
      <c r="AG2">
        <f t="shared" si="0"/>
        <v>127.22222299999999</v>
      </c>
      <c r="AH2">
        <f t="shared" si="0"/>
        <v>113.33333399999999</v>
      </c>
      <c r="AI2">
        <f t="shared" si="0"/>
        <v>113.33333399999999</v>
      </c>
      <c r="AJ2">
        <f t="shared" si="0"/>
        <v>113.33333399999999</v>
      </c>
      <c r="AK2">
        <f t="shared" si="0"/>
        <v>127.22222299999999</v>
      </c>
      <c r="AL2">
        <f t="shared" si="0"/>
        <v>127.22222299999999</v>
      </c>
      <c r="AM2">
        <f t="shared" si="0"/>
        <v>127.77777855999999</v>
      </c>
      <c r="AN2">
        <f t="shared" si="0"/>
        <v>131.66666748</v>
      </c>
      <c r="AO2">
        <f t="shared" si="0"/>
        <v>133.33333415999999</v>
      </c>
      <c r="AP2">
        <f t="shared" si="0"/>
        <v>140.55555643999998</v>
      </c>
      <c r="AQ2">
        <f t="shared" si="0"/>
        <v>141.11111199999999</v>
      </c>
      <c r="AR2">
        <f t="shared" si="0"/>
        <v>141.11111199999999</v>
      </c>
      <c r="AS2">
        <f t="shared" si="0"/>
        <v>146.11111203999999</v>
      </c>
      <c r="AT2">
        <f t="shared" si="0"/>
        <v>146.66666759999998</v>
      </c>
      <c r="AU2">
        <f t="shared" si="0"/>
        <v>146.66666759999998</v>
      </c>
      <c r="AV2">
        <f t="shared" si="0"/>
        <v>147.22222316</v>
      </c>
      <c r="AW2">
        <f t="shared" si="0"/>
        <v>146.11111203999999</v>
      </c>
      <c r="AX2">
        <f t="shared" si="0"/>
        <v>148.33333427999997</v>
      </c>
      <c r="AY2">
        <f t="shared" si="0"/>
        <v>154.44444543999998</v>
      </c>
      <c r="AZ2">
        <f t="shared" si="0"/>
        <v>155.000001</v>
      </c>
      <c r="BA2">
        <f t="shared" si="0"/>
        <v>155.000001</v>
      </c>
      <c r="BB2">
        <f t="shared" si="0"/>
        <v>159.44444547999998</v>
      </c>
      <c r="BC2">
        <f t="shared" si="0"/>
        <v>162.22222327999998</v>
      </c>
      <c r="BD2">
        <f t="shared" si="0"/>
        <v>162.22222327999998</v>
      </c>
      <c r="BE2">
        <f t="shared" si="0"/>
        <v>162.22222327999998</v>
      </c>
      <c r="BF2">
        <f t="shared" si="0"/>
        <v>159.44444547999998</v>
      </c>
      <c r="BG2">
        <f t="shared" si="0"/>
        <v>156.66666767999999</v>
      </c>
      <c r="BH2">
        <f t="shared" si="0"/>
        <v>155.55555655999999</v>
      </c>
      <c r="BI2">
        <f t="shared" si="0"/>
        <v>155.55555655999999</v>
      </c>
      <c r="BJ2">
        <f t="shared" si="0"/>
        <v>155.55555655999999</v>
      </c>
      <c r="BK2">
        <f t="shared" si="0"/>
        <v>156.66666767999999</v>
      </c>
      <c r="BL2">
        <f t="shared" si="0"/>
        <v>157.22222324000001</v>
      </c>
      <c r="BM2">
        <f t="shared" si="0"/>
        <v>158.88888992</v>
      </c>
      <c r="BN2">
        <f t="shared" si="0"/>
        <v>160.55555659999999</v>
      </c>
      <c r="BO2">
        <f t="shared" si="0"/>
        <v>161.11111215999998</v>
      </c>
      <c r="BP2">
        <f t="shared" si="0"/>
        <v>161.11111215999998</v>
      </c>
      <c r="BQ2">
        <f t="shared" si="0"/>
        <v>168.33333443999999</v>
      </c>
      <c r="BR2">
        <f t="shared" ref="BR2:CC2" si="1">30+BR1*0.55555556</f>
        <v>168.88888999999998</v>
      </c>
      <c r="BS2">
        <f t="shared" si="1"/>
        <v>168.88888999999998</v>
      </c>
      <c r="BT2">
        <f t="shared" si="1"/>
        <v>171.6666678</v>
      </c>
      <c r="BU2">
        <f t="shared" si="1"/>
        <v>173.88889003999998</v>
      </c>
      <c r="BV2">
        <f t="shared" si="1"/>
        <v>174.44444559999999</v>
      </c>
      <c r="BW2">
        <f t="shared" si="1"/>
        <v>177.22222339999999</v>
      </c>
      <c r="BX2">
        <f t="shared" si="1"/>
        <v>177.22222339999999</v>
      </c>
      <c r="BY2">
        <f t="shared" si="1"/>
        <v>178.88889007999998</v>
      </c>
      <c r="BZ2">
        <f t="shared" si="1"/>
        <v>177.77777895999998</v>
      </c>
      <c r="CA2">
        <f t="shared" si="1"/>
        <v>178.88889007999998</v>
      </c>
      <c r="CB2">
        <f t="shared" si="1"/>
        <v>179.44444564</v>
      </c>
      <c r="CC2">
        <f t="shared" si="1"/>
        <v>179.44444564</v>
      </c>
    </row>
    <row r="3" spans="1:81" x14ac:dyDescent="0.25">
      <c r="A3">
        <v>3.00580539230479</v>
      </c>
      <c r="B3">
        <f>1.158*A3</f>
        <v>3.4807226442889467</v>
      </c>
      <c r="C3">
        <f>1/A3</f>
        <v>0.33268953557675951</v>
      </c>
      <c r="E3">
        <v>0</v>
      </c>
      <c r="F3">
        <v>2.8657249999999999E-2</v>
      </c>
      <c r="G3">
        <v>-2.4872999999999999E-2</v>
      </c>
      <c r="H3">
        <v>1.27934999999999E-2</v>
      </c>
      <c r="I3">
        <v>3.0153249999999899E-2</v>
      </c>
      <c r="J3">
        <v>2.804475E-2</v>
      </c>
      <c r="K3">
        <v>2.8354999999999901E-2</v>
      </c>
      <c r="L3">
        <v>0.10399875</v>
      </c>
      <c r="M3">
        <v>6.2042250000000097E-2</v>
      </c>
      <c r="N3">
        <v>5.8361250000000003E-2</v>
      </c>
      <c r="O3">
        <v>0.15927674999999999</v>
      </c>
      <c r="P3">
        <v>0.154087</v>
      </c>
      <c r="Q3">
        <v>6.1354249999999902E-2</v>
      </c>
      <c r="R3">
        <v>4.1132500000000002E-2</v>
      </c>
      <c r="S3">
        <v>1.8072499999999901E-2</v>
      </c>
      <c r="T3">
        <v>2.1192500000000201E-2</v>
      </c>
      <c r="U3">
        <v>0.26008500000000001</v>
      </c>
      <c r="V3">
        <v>0.36847750000000001</v>
      </c>
      <c r="W3">
        <v>0.3787625</v>
      </c>
      <c r="X3">
        <v>0.7063275</v>
      </c>
      <c r="Y3">
        <v>0.9544975</v>
      </c>
      <c r="Z3">
        <v>1.0243225</v>
      </c>
      <c r="AA3">
        <v>0.94779250000000004</v>
      </c>
      <c r="AB3">
        <v>1.0775375</v>
      </c>
      <c r="AC3">
        <v>1.1540600000000001</v>
      </c>
      <c r="AD3">
        <v>1.1933175</v>
      </c>
      <c r="AE3">
        <v>1.3963975</v>
      </c>
      <c r="AF3">
        <v>1.47997</v>
      </c>
      <c r="AG3">
        <v>1.4750775</v>
      </c>
      <c r="AH3">
        <v>1.34968</v>
      </c>
      <c r="AI3">
        <v>1.3453299999999999</v>
      </c>
      <c r="AJ3">
        <v>1.3472550000000001</v>
      </c>
      <c r="AK3">
        <v>1.5713200000000001</v>
      </c>
      <c r="AL3">
        <v>1.5274624999999999</v>
      </c>
      <c r="AM3">
        <v>1.5259125</v>
      </c>
      <c r="AN3">
        <v>1.572235</v>
      </c>
      <c r="AO3">
        <v>1.6449849999999999</v>
      </c>
      <c r="AP3">
        <v>1.6696850000000001</v>
      </c>
      <c r="AQ3">
        <v>1.672185</v>
      </c>
      <c r="AR3">
        <v>1.7637674999999999</v>
      </c>
      <c r="AS3">
        <v>1.8365899999999999</v>
      </c>
      <c r="AT3">
        <v>1.6971000000000001</v>
      </c>
      <c r="AU3">
        <v>1.69356</v>
      </c>
      <c r="AV3">
        <v>1.79331</v>
      </c>
      <c r="AW3">
        <v>1.79837</v>
      </c>
      <c r="AX3">
        <v>1.7884225</v>
      </c>
      <c r="AY3">
        <v>1.9121575</v>
      </c>
      <c r="AZ3">
        <v>1.9101600000000001</v>
      </c>
      <c r="BA3">
        <v>1.9267675</v>
      </c>
      <c r="BB3">
        <v>1.9956125</v>
      </c>
      <c r="BC3">
        <v>2.0128575</v>
      </c>
      <c r="BD3">
        <v>2.0168175000000002</v>
      </c>
      <c r="BE3">
        <v>1.9176774999999999</v>
      </c>
      <c r="BF3">
        <v>1.96915</v>
      </c>
      <c r="BG3">
        <v>1.8847624999999999</v>
      </c>
      <c r="BH3">
        <v>1.9221474999999999</v>
      </c>
      <c r="BI3">
        <v>2.0634225000000002</v>
      </c>
      <c r="BJ3">
        <v>1.9246924999999999</v>
      </c>
      <c r="BK3">
        <v>1.9307749999999999</v>
      </c>
      <c r="BL3">
        <v>1.9841599999999999</v>
      </c>
      <c r="BM3">
        <v>1.9384650000000001</v>
      </c>
      <c r="BN3">
        <v>1.9449175000000001</v>
      </c>
      <c r="BO3">
        <v>1.9433875</v>
      </c>
      <c r="BP3">
        <v>1.9504349999999999</v>
      </c>
      <c r="BQ3">
        <v>2.0261974999999999</v>
      </c>
      <c r="BR3">
        <v>2.0716825000000001</v>
      </c>
      <c r="BS3">
        <v>2.0063825</v>
      </c>
      <c r="BT3">
        <v>2.047075</v>
      </c>
      <c r="BU3">
        <v>2.0724575000000001</v>
      </c>
      <c r="BV3">
        <v>2.1084774999999998</v>
      </c>
      <c r="BW3">
        <v>2.1280975</v>
      </c>
      <c r="BX3">
        <v>2.2082649999999999</v>
      </c>
      <c r="BY3">
        <v>2.1667999999999998</v>
      </c>
      <c r="BZ3">
        <v>2.2161325000000001</v>
      </c>
      <c r="CA3">
        <v>2.1253975000000001</v>
      </c>
      <c r="CB3">
        <v>1.9382775000000001</v>
      </c>
      <c r="CC3">
        <v>1.8720524999999999</v>
      </c>
    </row>
    <row r="4" spans="1:81" x14ac:dyDescent="0.25">
      <c r="A4">
        <v>2.9194496064671398</v>
      </c>
      <c r="B4">
        <f t="shared" ref="B4:B17" si="2">1.158*A4</f>
        <v>3.3807226442889475</v>
      </c>
      <c r="C4">
        <f t="shared" ref="C4:C17" si="3">1/A4</f>
        <v>0.34253031728474043</v>
      </c>
      <c r="E4">
        <v>0</v>
      </c>
      <c r="F4">
        <v>2.2082750000000002E-2</v>
      </c>
      <c r="G4">
        <v>-1.92840000000001E-2</v>
      </c>
      <c r="H4">
        <v>7.8857500000000299E-3</v>
      </c>
      <c r="I4">
        <v>2.7119500000000001E-2</v>
      </c>
      <c r="J4">
        <v>2.3605250000000001E-2</v>
      </c>
      <c r="K4">
        <v>2.4989500000000001E-2</v>
      </c>
      <c r="L4">
        <v>9.5011499999999999E-2</v>
      </c>
      <c r="M4">
        <v>5.23809999999999E-2</v>
      </c>
      <c r="N4">
        <v>5.0761250000000001E-2</v>
      </c>
      <c r="O4">
        <v>0.150198</v>
      </c>
      <c r="P4">
        <v>0.1443025</v>
      </c>
      <c r="Q4">
        <v>5.43137499999998E-2</v>
      </c>
      <c r="R4">
        <v>3.3734999999999897E-2</v>
      </c>
      <c r="S4">
        <v>1.4212499999999999E-2</v>
      </c>
      <c r="T4">
        <v>1.24375000000001E-2</v>
      </c>
      <c r="U4">
        <v>0.16325000000000001</v>
      </c>
      <c r="V4">
        <v>0.26457999999999998</v>
      </c>
      <c r="W4">
        <v>0.27142749999999999</v>
      </c>
      <c r="X4">
        <v>0.56315999999999999</v>
      </c>
      <c r="Y4">
        <v>0.77866250000000004</v>
      </c>
      <c r="Z4">
        <v>0.84523749999999997</v>
      </c>
      <c r="AA4">
        <v>0.76888000000000001</v>
      </c>
      <c r="AB4">
        <v>0.89655750000000001</v>
      </c>
      <c r="AC4">
        <v>0.96900750000000102</v>
      </c>
      <c r="AD4">
        <v>1.007825</v>
      </c>
      <c r="AE4">
        <v>1.1773400000000001</v>
      </c>
      <c r="AF4">
        <v>1.2606975</v>
      </c>
      <c r="AG4">
        <v>1.2574149999999999</v>
      </c>
      <c r="AH4">
        <v>1.14676</v>
      </c>
      <c r="AI4">
        <v>1.1457124999999999</v>
      </c>
      <c r="AJ4">
        <v>1.1455</v>
      </c>
      <c r="AK4">
        <v>1.3523000000000001</v>
      </c>
      <c r="AL4">
        <v>1.31046</v>
      </c>
      <c r="AM4">
        <v>1.3094224999999999</v>
      </c>
      <c r="AN4">
        <v>1.3505549999999999</v>
      </c>
      <c r="AO4">
        <v>1.4163275</v>
      </c>
      <c r="AP4">
        <v>1.4265049999999999</v>
      </c>
      <c r="AQ4">
        <v>1.4283425000000001</v>
      </c>
      <c r="AR4">
        <v>1.5152950000000001</v>
      </c>
      <c r="AS4">
        <v>1.5807275000000001</v>
      </c>
      <c r="AT4">
        <v>1.4456175</v>
      </c>
      <c r="AU4">
        <v>1.4431799999999999</v>
      </c>
      <c r="AV4">
        <v>1.53708</v>
      </c>
      <c r="AW4">
        <v>1.5446375000000001</v>
      </c>
      <c r="AX4">
        <v>1.5403899999999999</v>
      </c>
      <c r="AY4">
        <v>1.6383049999999999</v>
      </c>
      <c r="AZ4">
        <v>1.6391625000000001</v>
      </c>
      <c r="BA4">
        <v>1.6558124999999999</v>
      </c>
      <c r="BB4">
        <v>1.7147874999999999</v>
      </c>
      <c r="BC4">
        <v>1.7294725</v>
      </c>
      <c r="BD4">
        <v>1.7391049999999999</v>
      </c>
      <c r="BE4">
        <v>1.6433074999999999</v>
      </c>
      <c r="BF4">
        <v>1.69662</v>
      </c>
      <c r="BG4">
        <v>1.6120975</v>
      </c>
      <c r="BH4">
        <v>1.65046</v>
      </c>
      <c r="BI4">
        <v>1.7904249999999999</v>
      </c>
      <c r="BJ4">
        <v>1.6520349999999999</v>
      </c>
      <c r="BK4">
        <v>1.65655</v>
      </c>
      <c r="BL4">
        <v>1.7079175</v>
      </c>
      <c r="BM4">
        <v>1.661225</v>
      </c>
      <c r="BN4">
        <v>1.6678900000000001</v>
      </c>
      <c r="BO4">
        <v>1.6699299999999999</v>
      </c>
      <c r="BP4">
        <v>1.6722075000000001</v>
      </c>
      <c r="BQ4">
        <v>1.7400625000000001</v>
      </c>
      <c r="BR4">
        <v>1.7848325</v>
      </c>
      <c r="BS4">
        <v>1.7190350000000001</v>
      </c>
      <c r="BT4">
        <v>1.75736</v>
      </c>
      <c r="BU4">
        <v>1.77372</v>
      </c>
      <c r="BV4">
        <v>1.81528</v>
      </c>
      <c r="BW4">
        <v>1.8281000000000001</v>
      </c>
      <c r="BX4">
        <v>1.901335</v>
      </c>
      <c r="BY4">
        <v>1.8625125</v>
      </c>
      <c r="BZ4">
        <v>1.9104449999999999</v>
      </c>
      <c r="CA4">
        <v>1.8214300000000001</v>
      </c>
      <c r="CB4">
        <v>1.6585224999999999</v>
      </c>
      <c r="CC4">
        <v>1.593545</v>
      </c>
    </row>
    <row r="5" spans="1:81" x14ac:dyDescent="0.25">
      <c r="A5">
        <v>2.83309382062949</v>
      </c>
      <c r="B5">
        <f t="shared" si="2"/>
        <v>3.2807226442889492</v>
      </c>
      <c r="C5">
        <f t="shared" si="3"/>
        <v>0.35297101448543217</v>
      </c>
      <c r="E5">
        <v>0</v>
      </c>
      <c r="F5">
        <v>1.8378249999999999E-2</v>
      </c>
      <c r="G5">
        <v>-2.6304000000000001E-2</v>
      </c>
      <c r="H5">
        <v>7.7520000000000904E-3</v>
      </c>
      <c r="I5">
        <v>2.3725750000000101E-2</v>
      </c>
      <c r="J5">
        <v>1.8730250000000101E-2</v>
      </c>
      <c r="K5">
        <v>1.95237500000001E-2</v>
      </c>
      <c r="L5">
        <v>8.9635500000000007E-2</v>
      </c>
      <c r="M5">
        <v>4.7440000000000003E-2</v>
      </c>
      <c r="N5">
        <v>4.7043750000000099E-2</v>
      </c>
      <c r="O5">
        <v>0.14369399999999999</v>
      </c>
      <c r="P5">
        <v>0.13842725</v>
      </c>
      <c r="Q5">
        <v>5.0832750000000003E-2</v>
      </c>
      <c r="R5">
        <v>2.4702499999999902E-2</v>
      </c>
      <c r="S5">
        <v>1.29674999999998E-2</v>
      </c>
      <c r="T5">
        <v>2.1495000000000299E-2</v>
      </c>
      <c r="U5">
        <v>5.3452499999999702E-2</v>
      </c>
      <c r="V5">
        <v>0.14800749999999999</v>
      </c>
      <c r="W5">
        <v>0.14875250000000001</v>
      </c>
      <c r="X5">
        <v>0.3899475</v>
      </c>
      <c r="Y5">
        <v>0.58225000000000005</v>
      </c>
      <c r="Z5">
        <v>0.64564500000000102</v>
      </c>
      <c r="AA5">
        <v>0.56596999999999897</v>
      </c>
      <c r="AB5">
        <v>0.71988249999999998</v>
      </c>
      <c r="AC5">
        <v>0.78809249999999997</v>
      </c>
      <c r="AD5">
        <v>0.8298025</v>
      </c>
      <c r="AE5">
        <v>1.0037</v>
      </c>
      <c r="AF5">
        <v>1.08629</v>
      </c>
      <c r="AG5">
        <v>1.0817650000000001</v>
      </c>
      <c r="AH5">
        <v>0.98660000000000003</v>
      </c>
      <c r="AI5">
        <v>0.98773999999999995</v>
      </c>
      <c r="AJ5">
        <v>0.98565000000000003</v>
      </c>
      <c r="AK5">
        <v>1.1811700000000001</v>
      </c>
      <c r="AL5">
        <v>1.1383775</v>
      </c>
      <c r="AM5">
        <v>1.1389125</v>
      </c>
      <c r="AN5">
        <v>1.1721524999999999</v>
      </c>
      <c r="AO5">
        <v>1.2370000000000001</v>
      </c>
      <c r="AP5">
        <v>1.2432924999999999</v>
      </c>
      <c r="AQ5">
        <v>1.2444424999999999</v>
      </c>
      <c r="AR5">
        <v>1.3293900000000001</v>
      </c>
      <c r="AS5">
        <v>1.3898575</v>
      </c>
      <c r="AT5">
        <v>1.2544550000000001</v>
      </c>
      <c r="AU5">
        <v>1.2538925000000001</v>
      </c>
      <c r="AV5">
        <v>1.3486024999999999</v>
      </c>
      <c r="AW5">
        <v>1.3541099999999999</v>
      </c>
      <c r="AX5">
        <v>1.3533550000000001</v>
      </c>
      <c r="AY5">
        <v>1.4379999999999999</v>
      </c>
      <c r="AZ5">
        <v>1.4407725</v>
      </c>
      <c r="BA5">
        <v>1.45469</v>
      </c>
      <c r="BB5">
        <v>1.5066875</v>
      </c>
      <c r="BC5">
        <v>1.52101</v>
      </c>
      <c r="BD5">
        <v>1.5354699999999999</v>
      </c>
      <c r="BE5">
        <v>1.4415100000000001</v>
      </c>
      <c r="BF5">
        <v>1.4962625000000001</v>
      </c>
      <c r="BG5">
        <v>1.410695</v>
      </c>
      <c r="BH5">
        <v>1.4482524999999999</v>
      </c>
      <c r="BI5">
        <v>1.5855649999999999</v>
      </c>
      <c r="BJ5">
        <v>1.44903</v>
      </c>
      <c r="BK5">
        <v>1.4573324999999999</v>
      </c>
      <c r="BL5">
        <v>1.5068349999999999</v>
      </c>
      <c r="BM5">
        <v>1.4571575000000001</v>
      </c>
      <c r="BN5">
        <v>1.46499</v>
      </c>
      <c r="BO5">
        <v>1.469455</v>
      </c>
      <c r="BP5">
        <v>1.4694575000000001</v>
      </c>
      <c r="BQ5">
        <v>1.5307075000000001</v>
      </c>
      <c r="BR5">
        <v>1.57189</v>
      </c>
      <c r="BS5">
        <v>1.50562</v>
      </c>
      <c r="BT5">
        <v>1.5414574999999999</v>
      </c>
      <c r="BU5">
        <v>1.555655</v>
      </c>
      <c r="BV5">
        <v>1.59117</v>
      </c>
      <c r="BW5">
        <v>1.60273</v>
      </c>
      <c r="BX5">
        <v>1.6769925000000001</v>
      </c>
      <c r="BY5">
        <v>1.6358474999999999</v>
      </c>
      <c r="BZ5">
        <v>1.6857724999999999</v>
      </c>
      <c r="CA5">
        <v>1.5954999999999999</v>
      </c>
      <c r="CB5">
        <v>1.45617</v>
      </c>
      <c r="CC5">
        <v>1.3912850000000001</v>
      </c>
    </row>
    <row r="6" spans="1:81" x14ac:dyDescent="0.25">
      <c r="A6">
        <v>2.7467380347918402</v>
      </c>
      <c r="B6">
        <f t="shared" si="2"/>
        <v>3.1807226442889509</v>
      </c>
      <c r="C6">
        <f t="shared" si="3"/>
        <v>0.36406821012175061</v>
      </c>
      <c r="E6">
        <v>0</v>
      </c>
      <c r="F6">
        <v>1.18995E-2</v>
      </c>
      <c r="G6">
        <v>-4.1440499999999998E-2</v>
      </c>
      <c r="H6">
        <v>2.2532499999999801E-3</v>
      </c>
      <c r="I6">
        <v>2.1440250000000199E-2</v>
      </c>
      <c r="J6">
        <v>1.41555000000001E-2</v>
      </c>
      <c r="K6">
        <v>2.0203749999999999E-2</v>
      </c>
      <c r="L6">
        <v>8.5563500000000001E-2</v>
      </c>
      <c r="M6">
        <v>4.37422500000001E-2</v>
      </c>
      <c r="N6">
        <v>3.8644999999999999E-2</v>
      </c>
      <c r="O6">
        <v>0.14091224999999999</v>
      </c>
      <c r="P6">
        <v>0.13517024999999999</v>
      </c>
      <c r="Q6">
        <v>4.8829500000000102E-2</v>
      </c>
      <c r="R6">
        <v>1.511E-2</v>
      </c>
      <c r="S6">
        <v>1.5914999999999901E-2</v>
      </c>
      <c r="T6">
        <v>1.11725E-2</v>
      </c>
      <c r="U6">
        <v>-6.9549999999998198E-3</v>
      </c>
      <c r="V6">
        <v>8.1525000000000097E-2</v>
      </c>
      <c r="W6">
        <v>7.2440000000000102E-2</v>
      </c>
      <c r="X6">
        <v>0.28267999999999999</v>
      </c>
      <c r="Y6">
        <v>0.46960499999999999</v>
      </c>
      <c r="Z6">
        <v>0.53174750000000004</v>
      </c>
      <c r="AA6">
        <v>0.455675</v>
      </c>
      <c r="AB6">
        <v>0.60662749999999999</v>
      </c>
      <c r="AC6">
        <v>0.67510749999999997</v>
      </c>
      <c r="AD6">
        <v>0.71743250000000003</v>
      </c>
      <c r="AE6">
        <v>0.87010500000000002</v>
      </c>
      <c r="AF6">
        <v>0.95396499999999995</v>
      </c>
      <c r="AG6">
        <v>0.948125</v>
      </c>
      <c r="AH6">
        <v>0.87377749999999998</v>
      </c>
      <c r="AI6">
        <v>0.87475499999999995</v>
      </c>
      <c r="AJ6">
        <v>0.87618750000000001</v>
      </c>
      <c r="AK6">
        <v>1.0674675</v>
      </c>
      <c r="AL6">
        <v>1.0251399999999999</v>
      </c>
      <c r="AM6">
        <v>1.0237700000000001</v>
      </c>
      <c r="AN6">
        <v>1.0593824999999999</v>
      </c>
      <c r="AO6">
        <v>1.121575</v>
      </c>
      <c r="AP6">
        <v>1.1249024999999999</v>
      </c>
      <c r="AQ6">
        <v>1.12795</v>
      </c>
      <c r="AR6">
        <v>1.209975</v>
      </c>
      <c r="AS6">
        <v>1.272295</v>
      </c>
      <c r="AT6">
        <v>1.1366175000000001</v>
      </c>
      <c r="AU6">
        <v>1.1383075</v>
      </c>
      <c r="AV6">
        <v>1.2338275000000001</v>
      </c>
      <c r="AW6">
        <v>1.2391325</v>
      </c>
      <c r="AX6">
        <v>1.2516825</v>
      </c>
      <c r="AY6">
        <v>1.3344225000000001</v>
      </c>
      <c r="AZ6">
        <v>1.337925</v>
      </c>
      <c r="BA6">
        <v>1.3530475</v>
      </c>
      <c r="BB6">
        <v>1.3995774999999999</v>
      </c>
      <c r="BC6">
        <v>1.4165775</v>
      </c>
      <c r="BD6">
        <v>1.4361124999999999</v>
      </c>
      <c r="BE6">
        <v>1.3414225</v>
      </c>
      <c r="BF6">
        <v>1.3952024999999999</v>
      </c>
      <c r="BG6">
        <v>1.3147949999999999</v>
      </c>
      <c r="BH6">
        <v>1.3520000000000001</v>
      </c>
      <c r="BI6">
        <v>1.48987</v>
      </c>
      <c r="BJ6">
        <v>1.3531875</v>
      </c>
      <c r="BK6">
        <v>1.3601825000000001</v>
      </c>
      <c r="BL6">
        <v>1.4102325</v>
      </c>
      <c r="BM6">
        <v>1.3603099999999999</v>
      </c>
      <c r="BN6">
        <v>1.3699749999999999</v>
      </c>
      <c r="BO6">
        <v>1.3754424999999999</v>
      </c>
      <c r="BP6">
        <v>1.3773375000000001</v>
      </c>
      <c r="BQ6">
        <v>1.4439975</v>
      </c>
      <c r="BR6">
        <v>1.4874700000000001</v>
      </c>
      <c r="BS6">
        <v>1.4160550000000001</v>
      </c>
      <c r="BT6">
        <v>1.45899</v>
      </c>
      <c r="BU6">
        <v>1.4736849999999999</v>
      </c>
      <c r="BV6">
        <v>1.5122975000000001</v>
      </c>
      <c r="BW6">
        <v>1.52346</v>
      </c>
      <c r="BX6">
        <v>1.5997825000000001</v>
      </c>
      <c r="BY6">
        <v>1.556935</v>
      </c>
      <c r="BZ6">
        <v>1.6053999999999999</v>
      </c>
      <c r="CA6">
        <v>1.5196700000000001</v>
      </c>
      <c r="CB6">
        <v>1.3952724999999999</v>
      </c>
      <c r="CC6">
        <v>1.3230074999999999</v>
      </c>
    </row>
    <row r="7" spans="1:81" x14ac:dyDescent="0.25">
      <c r="A7">
        <v>2.66038224895419</v>
      </c>
      <c r="B7">
        <f t="shared" si="2"/>
        <v>3.0807226442889517</v>
      </c>
      <c r="C7">
        <f t="shared" si="3"/>
        <v>0.3758858338470365</v>
      </c>
      <c r="E7">
        <v>0</v>
      </c>
      <c r="F7">
        <v>1.3046000000000099E-2</v>
      </c>
      <c r="G7">
        <v>-4.1304749999999897E-2</v>
      </c>
      <c r="H7">
        <v>-1.8004999999999801E-3</v>
      </c>
      <c r="I7">
        <v>1.8721999999999999E-2</v>
      </c>
      <c r="J7">
        <v>8.5384999999997806E-3</v>
      </c>
      <c r="K7">
        <v>1.45880000000002E-2</v>
      </c>
      <c r="L7">
        <v>8.4262750000000095E-2</v>
      </c>
      <c r="M7">
        <v>4.4250999999999902E-2</v>
      </c>
      <c r="N7">
        <v>4.4612000000000103E-2</v>
      </c>
      <c r="O7">
        <v>0.13800750000000001</v>
      </c>
      <c r="P7">
        <v>0.134189</v>
      </c>
      <c r="Q7">
        <v>4.42767499999999E-2</v>
      </c>
      <c r="R7">
        <v>7.1975000000001899E-3</v>
      </c>
      <c r="S7">
        <v>1.61175E-2</v>
      </c>
      <c r="T7">
        <v>1.8197500000000099E-2</v>
      </c>
      <c r="U7">
        <v>-9.2674999999997603E-3</v>
      </c>
      <c r="V7">
        <v>7.7515000000000001E-2</v>
      </c>
      <c r="W7">
        <v>7.0765000000000203E-2</v>
      </c>
      <c r="X7">
        <v>0.1640075</v>
      </c>
      <c r="Y7">
        <v>0.30159000000000002</v>
      </c>
      <c r="Z7">
        <v>0.36254999999999998</v>
      </c>
      <c r="AA7">
        <v>0.29075499999999999</v>
      </c>
      <c r="AB7">
        <v>0.42469499999999999</v>
      </c>
      <c r="AC7">
        <v>0.49269750000000001</v>
      </c>
      <c r="AD7">
        <v>0.53661250000000005</v>
      </c>
      <c r="AE7">
        <v>0.64856499999999995</v>
      </c>
      <c r="AF7">
        <v>0.73660499999999995</v>
      </c>
      <c r="AG7">
        <v>0.72969999999999902</v>
      </c>
      <c r="AH7">
        <v>0.91044499999999995</v>
      </c>
      <c r="AI7">
        <v>0.91031499999999999</v>
      </c>
      <c r="AJ7">
        <v>0.912165</v>
      </c>
      <c r="AK7">
        <v>1.1613475</v>
      </c>
      <c r="AL7">
        <v>1.1158475000000001</v>
      </c>
      <c r="AM7">
        <v>1.119745</v>
      </c>
      <c r="AN7">
        <v>1.1797774999999999</v>
      </c>
      <c r="AO7">
        <v>1.2476</v>
      </c>
      <c r="AP7">
        <v>1.2760400000000001</v>
      </c>
      <c r="AQ7">
        <v>1.2727225</v>
      </c>
      <c r="AR7">
        <v>1.3561725</v>
      </c>
      <c r="AS7">
        <v>1.4204874999999999</v>
      </c>
      <c r="AT7">
        <v>1.271115</v>
      </c>
      <c r="AU7">
        <v>1.2745625</v>
      </c>
      <c r="AV7">
        <v>1.36042</v>
      </c>
      <c r="AW7">
        <v>1.35629</v>
      </c>
      <c r="AX7">
        <v>1.3666400000000001</v>
      </c>
      <c r="AY7">
        <v>1.4313175</v>
      </c>
      <c r="AZ7">
        <v>1.441365</v>
      </c>
      <c r="BA7">
        <v>1.458755</v>
      </c>
      <c r="BB7">
        <v>1.5004649999999999</v>
      </c>
      <c r="BC7">
        <v>1.5116499999999999</v>
      </c>
      <c r="BD7">
        <v>1.5387625</v>
      </c>
      <c r="BE7">
        <v>1.4405399999999999</v>
      </c>
      <c r="BF7">
        <v>1.4986250000000001</v>
      </c>
      <c r="BG7">
        <v>1.4140425000000001</v>
      </c>
      <c r="BH7">
        <v>1.4548375</v>
      </c>
      <c r="BI7">
        <v>1.5958425000000001</v>
      </c>
      <c r="BJ7">
        <v>1.457535</v>
      </c>
      <c r="BK7">
        <v>1.4652449999999999</v>
      </c>
      <c r="BL7">
        <v>1.5136725</v>
      </c>
      <c r="BM7">
        <v>1.4586075000000001</v>
      </c>
      <c r="BN7">
        <v>1.4759424999999999</v>
      </c>
      <c r="BO7">
        <v>1.4866699999999999</v>
      </c>
      <c r="BP7">
        <v>1.482785</v>
      </c>
      <c r="BQ7">
        <v>1.555895</v>
      </c>
      <c r="BR7">
        <v>1.5974575</v>
      </c>
      <c r="BS7">
        <v>1.5266150000000001</v>
      </c>
      <c r="BT7">
        <v>1.5674125000000001</v>
      </c>
      <c r="BU7">
        <v>1.5785374999999999</v>
      </c>
      <c r="BV7">
        <v>1.6194999999999999</v>
      </c>
      <c r="BW7">
        <v>1.6264725</v>
      </c>
      <c r="BX7">
        <v>1.7076525</v>
      </c>
      <c r="BY7">
        <v>1.65978</v>
      </c>
      <c r="BZ7">
        <v>1.7128350000000001</v>
      </c>
      <c r="CA7">
        <v>1.6306149999999999</v>
      </c>
      <c r="CB7">
        <v>1.5138799999999999</v>
      </c>
      <c r="CC7">
        <v>1.4353175</v>
      </c>
    </row>
    <row r="8" spans="1:81" x14ac:dyDescent="0.25">
      <c r="A8">
        <v>2.5740264631165402</v>
      </c>
      <c r="B8">
        <f t="shared" si="2"/>
        <v>2.9807226442889534</v>
      </c>
      <c r="C8">
        <f t="shared" si="3"/>
        <v>0.38849639439574191</v>
      </c>
      <c r="E8">
        <v>0</v>
      </c>
      <c r="F8">
        <v>1.08422500000001E-2</v>
      </c>
      <c r="G8">
        <v>-4.8765000000000003E-2</v>
      </c>
      <c r="H8">
        <v>-7.8995000000000593E-3</v>
      </c>
      <c r="I8">
        <v>1.3868E-2</v>
      </c>
      <c r="J8">
        <v>3.48599999999999E-3</v>
      </c>
      <c r="K8">
        <v>1.36222500000001E-2</v>
      </c>
      <c r="L8">
        <v>8.1327250000000004E-2</v>
      </c>
      <c r="M8">
        <v>3.5836500000000097E-2</v>
      </c>
      <c r="N8">
        <v>3.7369499999999903E-2</v>
      </c>
      <c r="O8">
        <v>0.13640725000000001</v>
      </c>
      <c r="P8">
        <v>0.12687975000000001</v>
      </c>
      <c r="Q8">
        <v>3.62195000000003E-2</v>
      </c>
      <c r="R8">
        <v>1.32249999999989E-3</v>
      </c>
      <c r="S8">
        <v>1.3192500000000201E-2</v>
      </c>
      <c r="T8">
        <v>2.528E-2</v>
      </c>
      <c r="U8">
        <v>-1.53550000000002E-2</v>
      </c>
      <c r="V8">
        <v>7.2939999999999797E-2</v>
      </c>
      <c r="W8">
        <v>6.6159999999999997E-2</v>
      </c>
      <c r="X8">
        <v>9.7249999999999795E-2</v>
      </c>
      <c r="Y8">
        <v>0.20979500000000001</v>
      </c>
      <c r="Z8">
        <v>0.26923000000000002</v>
      </c>
      <c r="AA8">
        <v>0.19408249999999999</v>
      </c>
      <c r="AB8">
        <v>0.313135</v>
      </c>
      <c r="AC8">
        <v>0.38244500000000098</v>
      </c>
      <c r="AD8">
        <v>0.42155500000000001</v>
      </c>
      <c r="AE8">
        <v>0.51141250000000005</v>
      </c>
      <c r="AF8">
        <v>0.6006475</v>
      </c>
      <c r="AG8">
        <v>0.59587250000000003</v>
      </c>
      <c r="AH8">
        <v>0.8432925</v>
      </c>
      <c r="AI8">
        <v>0.84485750000000004</v>
      </c>
      <c r="AJ8">
        <v>0.84519250000000001</v>
      </c>
      <c r="AK8">
        <v>1.1230424999999999</v>
      </c>
      <c r="AL8">
        <v>1.0759049999999999</v>
      </c>
      <c r="AM8">
        <v>1.0828450000000001</v>
      </c>
      <c r="AN8">
        <v>1.141785</v>
      </c>
      <c r="AO8">
        <v>1.20662</v>
      </c>
      <c r="AP8">
        <v>1.22113</v>
      </c>
      <c r="AQ8">
        <v>1.2213099999999999</v>
      </c>
      <c r="AR8">
        <v>1.2993825000000001</v>
      </c>
      <c r="AS8">
        <v>1.3632850000000001</v>
      </c>
      <c r="AT8">
        <v>1.210515</v>
      </c>
      <c r="AU8">
        <v>1.2160474999999999</v>
      </c>
      <c r="AV8">
        <v>1.2951874999999999</v>
      </c>
      <c r="AW8">
        <v>1.2942199999999999</v>
      </c>
      <c r="AX8">
        <v>1.301485</v>
      </c>
      <c r="AY8">
        <v>1.356935</v>
      </c>
      <c r="AZ8">
        <v>1.3675124999999999</v>
      </c>
      <c r="BA8">
        <v>1.3823224999999999</v>
      </c>
      <c r="BB8">
        <v>1.4176724999999999</v>
      </c>
      <c r="BC8">
        <v>1.432995</v>
      </c>
      <c r="BD8">
        <v>1.46146</v>
      </c>
      <c r="BE8">
        <v>1.36297</v>
      </c>
      <c r="BF8">
        <v>1.4247449999999999</v>
      </c>
      <c r="BG8">
        <v>1.3369724999999999</v>
      </c>
      <c r="BH8">
        <v>1.3795225</v>
      </c>
      <c r="BI8">
        <v>1.5212325</v>
      </c>
      <c r="BJ8">
        <v>1.3784650000000001</v>
      </c>
      <c r="BK8">
        <v>1.3884875000000001</v>
      </c>
      <c r="BL8">
        <v>1.4401949999999999</v>
      </c>
      <c r="BM8">
        <v>1.3859925</v>
      </c>
      <c r="BN8">
        <v>1.399535</v>
      </c>
      <c r="BO8">
        <v>1.41273</v>
      </c>
      <c r="BP8">
        <v>1.4107324999999999</v>
      </c>
      <c r="BQ8">
        <v>1.4800899999999999</v>
      </c>
      <c r="BR8">
        <v>1.5172049999999999</v>
      </c>
      <c r="BS8">
        <v>1.4465725</v>
      </c>
      <c r="BT8">
        <v>1.4876225000000001</v>
      </c>
      <c r="BU8">
        <v>1.4931775</v>
      </c>
      <c r="BV8">
        <v>1.5365875</v>
      </c>
      <c r="BW8">
        <v>1.5412075000000001</v>
      </c>
      <c r="BX8">
        <v>1.62005</v>
      </c>
      <c r="BY8">
        <v>1.5729550000000001</v>
      </c>
      <c r="BZ8">
        <v>1.6264375</v>
      </c>
      <c r="CA8">
        <v>1.5395399999999999</v>
      </c>
      <c r="CB8">
        <v>1.4414975000000001</v>
      </c>
      <c r="CC8">
        <v>1.3597275</v>
      </c>
    </row>
    <row r="9" spans="1:81" x14ac:dyDescent="0.25">
      <c r="A9">
        <v>2.4876706772788899</v>
      </c>
      <c r="B9">
        <f t="shared" si="2"/>
        <v>2.8807226442889542</v>
      </c>
      <c r="C9">
        <f t="shared" si="3"/>
        <v>0.40198246863360487</v>
      </c>
      <c r="E9">
        <v>0</v>
      </c>
      <c r="F9">
        <v>3.5082499999999901E-3</v>
      </c>
      <c r="G9">
        <v>-5.0215749999999899E-2</v>
      </c>
      <c r="H9">
        <v>-7.5359999999999898E-3</v>
      </c>
      <c r="I9">
        <v>1.2851750000000099E-2</v>
      </c>
      <c r="J9">
        <v>3.04850000000001E-3</v>
      </c>
      <c r="K9">
        <v>1.4407250000000101E-2</v>
      </c>
      <c r="L9">
        <v>8.0082250000000105E-2</v>
      </c>
      <c r="M9">
        <v>3.09895E-2</v>
      </c>
      <c r="N9">
        <v>3.7922500000000102E-2</v>
      </c>
      <c r="O9">
        <v>0.13129774999999999</v>
      </c>
      <c r="P9">
        <v>0.124305</v>
      </c>
      <c r="Q9">
        <v>3.58115000000001E-2</v>
      </c>
      <c r="R9">
        <v>-2.1575000000000301E-3</v>
      </c>
      <c r="S9">
        <v>1.59400000000001E-2</v>
      </c>
      <c r="T9">
        <v>1.34924999999999E-2</v>
      </c>
      <c r="U9">
        <v>-2.1354999999999999E-2</v>
      </c>
      <c r="V9">
        <v>7.1697499999999803E-2</v>
      </c>
      <c r="W9">
        <v>6.3687499999999897E-2</v>
      </c>
      <c r="X9">
        <v>5.0697500000000097E-2</v>
      </c>
      <c r="Y9">
        <v>9.6695000000000406E-2</v>
      </c>
      <c r="Z9">
        <v>0.1518825</v>
      </c>
      <c r="AA9">
        <v>7.7489999999999601E-2</v>
      </c>
      <c r="AB9">
        <v>0.15181500000000001</v>
      </c>
      <c r="AC9">
        <v>0.22383749999999999</v>
      </c>
      <c r="AD9">
        <v>0.26488</v>
      </c>
      <c r="AE9">
        <v>0.32280750000000002</v>
      </c>
      <c r="AF9">
        <v>0.41289750000000103</v>
      </c>
      <c r="AG9">
        <v>0.40580749999999999</v>
      </c>
      <c r="AH9">
        <v>0.76170749999999998</v>
      </c>
      <c r="AI9">
        <v>0.76068000000000002</v>
      </c>
      <c r="AJ9">
        <v>0.76149</v>
      </c>
      <c r="AK9">
        <v>1.1116925</v>
      </c>
      <c r="AL9">
        <v>1.064435</v>
      </c>
      <c r="AM9">
        <v>1.071925</v>
      </c>
      <c r="AN9">
        <v>1.1344375</v>
      </c>
      <c r="AO9">
        <v>1.2016625000000001</v>
      </c>
      <c r="AP9">
        <v>1.2175324999999999</v>
      </c>
      <c r="AQ9">
        <v>1.2184999999999999</v>
      </c>
      <c r="AR9">
        <v>1.29843</v>
      </c>
      <c r="AS9">
        <v>1.3690825</v>
      </c>
      <c r="AT9">
        <v>1.2284524999999999</v>
      </c>
      <c r="AU9">
        <v>1.2374624999999999</v>
      </c>
      <c r="AV9">
        <v>1.25201416666667</v>
      </c>
      <c r="AW9">
        <v>1.2537024999999999</v>
      </c>
      <c r="AX9">
        <v>1.2596149999999999</v>
      </c>
      <c r="AY9">
        <v>1.3191216666666701</v>
      </c>
      <c r="AZ9">
        <v>1.3274741666666701</v>
      </c>
      <c r="BA9">
        <v>1.3381683333333301</v>
      </c>
      <c r="BB9">
        <v>1.38108416666667</v>
      </c>
      <c r="BC9">
        <v>1.3961491666666701</v>
      </c>
      <c r="BD9">
        <v>1.4260841666666699</v>
      </c>
      <c r="BE9">
        <v>1.3292349999999999</v>
      </c>
      <c r="BF9">
        <v>1.3894883333333301</v>
      </c>
      <c r="BG9">
        <v>1.30415083333333</v>
      </c>
      <c r="BH9">
        <v>1.3438908333333299</v>
      </c>
      <c r="BI9">
        <v>1.4846925</v>
      </c>
      <c r="BJ9">
        <v>1.3445475</v>
      </c>
      <c r="BK9">
        <v>1.35444083333333</v>
      </c>
      <c r="BL9">
        <v>1.4104066666666699</v>
      </c>
      <c r="BM9">
        <v>1.35360083333333</v>
      </c>
      <c r="BN9">
        <v>1.3723375</v>
      </c>
      <c r="BO9">
        <v>1.38515583333333</v>
      </c>
      <c r="BP9">
        <v>1.38255833333333</v>
      </c>
      <c r="BQ9">
        <v>1.45208</v>
      </c>
      <c r="BR9">
        <v>1.4894591666666701</v>
      </c>
      <c r="BS9">
        <v>1.41987666666667</v>
      </c>
      <c r="BT9">
        <v>1.4593425</v>
      </c>
      <c r="BU9">
        <v>1.46607666666667</v>
      </c>
      <c r="BV9">
        <v>1.50728833333333</v>
      </c>
      <c r="BW9">
        <v>1.5173291666666699</v>
      </c>
      <c r="BX9">
        <v>1.59229833333333</v>
      </c>
      <c r="BY9">
        <v>1.55176</v>
      </c>
      <c r="BZ9">
        <v>1.6025024999999999</v>
      </c>
      <c r="CA9">
        <v>1.51377583333333</v>
      </c>
      <c r="CB9">
        <v>1.4202058333333301</v>
      </c>
      <c r="CC9">
        <v>1.33259333333333</v>
      </c>
    </row>
    <row r="10" spans="1:81" x14ac:dyDescent="0.25">
      <c r="A10">
        <v>2.4013148914412401</v>
      </c>
      <c r="B10">
        <f t="shared" si="2"/>
        <v>2.7807226442889559</v>
      </c>
      <c r="C10">
        <f t="shared" si="3"/>
        <v>0.41643851190204051</v>
      </c>
      <c r="E10">
        <v>0</v>
      </c>
      <c r="F10">
        <v>-1.4274999999999199E-3</v>
      </c>
      <c r="G10">
        <v>-5.543025E-2</v>
      </c>
      <c r="H10">
        <v>-6.4975000000000501E-3</v>
      </c>
      <c r="I10">
        <v>6.3024999999999904E-3</v>
      </c>
      <c r="J10">
        <v>-2.32350000000003E-3</v>
      </c>
      <c r="K10">
        <v>5.1702499999999301E-3</v>
      </c>
      <c r="L10">
        <v>7.5510750000000001E-2</v>
      </c>
      <c r="M10">
        <v>2.8444999999999901E-2</v>
      </c>
      <c r="N10">
        <v>3.4613249999999901E-2</v>
      </c>
      <c r="O10">
        <v>0.12783749999999999</v>
      </c>
      <c r="P10">
        <v>0.12737000000000001</v>
      </c>
      <c r="Q10">
        <v>3.2614749999999998E-2</v>
      </c>
      <c r="R10">
        <v>-1.2414999999999799E-2</v>
      </c>
      <c r="S10">
        <v>7.0125000000000898E-3</v>
      </c>
      <c r="T10">
        <v>6.0875000000002498E-3</v>
      </c>
      <c r="U10">
        <v>-2.7045000000000201E-2</v>
      </c>
      <c r="V10">
        <v>6.3457499999999903E-2</v>
      </c>
      <c r="W10">
        <v>5.6402499999999897E-2</v>
      </c>
      <c r="X10">
        <v>3.8654999999999898E-2</v>
      </c>
      <c r="Y10">
        <v>6.1524999999999601E-2</v>
      </c>
      <c r="Z10">
        <v>0.120795</v>
      </c>
      <c r="AA10">
        <v>4.1644999999999897E-2</v>
      </c>
      <c r="AB10">
        <v>8.46525000000002E-2</v>
      </c>
      <c r="AC10">
        <v>0.15665499999999999</v>
      </c>
      <c r="AD10">
        <v>0.2012825</v>
      </c>
      <c r="AE10">
        <v>0.17086750000000001</v>
      </c>
      <c r="AF10">
        <v>0.25692750000000097</v>
      </c>
      <c r="AG10">
        <v>0.250635</v>
      </c>
      <c r="AH10">
        <v>0.59854750000000001</v>
      </c>
      <c r="AI10">
        <v>0.60185500000000003</v>
      </c>
      <c r="AJ10">
        <v>0.60011499999999995</v>
      </c>
      <c r="AK10">
        <v>1.0051125000000001</v>
      </c>
      <c r="AL10">
        <v>0.95509500000000003</v>
      </c>
      <c r="AM10">
        <v>0.96592750000000105</v>
      </c>
      <c r="AN10">
        <v>1.0364374999999999</v>
      </c>
      <c r="AO10">
        <v>1.1109625000000001</v>
      </c>
      <c r="AP10">
        <v>1.151475</v>
      </c>
      <c r="AQ10">
        <v>1.1547025</v>
      </c>
      <c r="AR10">
        <v>1.2447649999999999</v>
      </c>
      <c r="AS10">
        <v>1.3206249999999999</v>
      </c>
      <c r="AT10">
        <v>1.1982625</v>
      </c>
      <c r="AU10">
        <v>1.208145</v>
      </c>
      <c r="AV10">
        <v>1.3178525000000001</v>
      </c>
      <c r="AW10">
        <v>1.34684</v>
      </c>
      <c r="AX10">
        <v>1.3657975</v>
      </c>
      <c r="AY10">
        <v>1.45878</v>
      </c>
      <c r="AZ10">
        <v>1.4631000000000001</v>
      </c>
      <c r="BA10">
        <v>1.4778024999999999</v>
      </c>
      <c r="BB10">
        <v>1.527415</v>
      </c>
      <c r="BC10">
        <v>1.603145</v>
      </c>
      <c r="BD10">
        <v>1.6747375</v>
      </c>
      <c r="BE10">
        <v>1.5992625</v>
      </c>
      <c r="BF10">
        <v>1.6701250000000001</v>
      </c>
      <c r="BG10">
        <v>1.5871200000000001</v>
      </c>
      <c r="BH10">
        <v>1.6369499999999999</v>
      </c>
      <c r="BI10">
        <v>1.7857099999999999</v>
      </c>
      <c r="BJ10">
        <v>1.6518474999999999</v>
      </c>
      <c r="BK10">
        <v>1.63271583333333</v>
      </c>
      <c r="BL10">
        <v>1.70077416666667</v>
      </c>
      <c r="BM10">
        <v>1.65552083333333</v>
      </c>
      <c r="BN10">
        <v>1.7025375</v>
      </c>
      <c r="BO10">
        <v>1.7141975</v>
      </c>
      <c r="BP10">
        <v>1.7188000000000001</v>
      </c>
      <c r="BQ10">
        <v>1.7006675</v>
      </c>
      <c r="BR10">
        <v>1.7441949999999999</v>
      </c>
      <c r="BS10">
        <v>1.6732275000000001</v>
      </c>
      <c r="BT10">
        <v>1.71936</v>
      </c>
      <c r="BU10">
        <v>1.7401599999999999</v>
      </c>
      <c r="BV10">
        <v>1.78752</v>
      </c>
      <c r="BW10">
        <v>1.8032900000000001</v>
      </c>
      <c r="BX10">
        <v>1.8757575</v>
      </c>
      <c r="BY10">
        <v>1.4002075</v>
      </c>
      <c r="BZ10">
        <v>1.4485950000000001</v>
      </c>
      <c r="CA10">
        <v>1.3615649999999999</v>
      </c>
      <c r="CB10">
        <v>1.273925</v>
      </c>
      <c r="CC10">
        <v>1.1916475</v>
      </c>
    </row>
    <row r="11" spans="1:81" x14ac:dyDescent="0.25">
      <c r="A11">
        <v>2.3149591056035899</v>
      </c>
      <c r="B11">
        <f t="shared" si="2"/>
        <v>2.6807226442889567</v>
      </c>
      <c r="C11">
        <f t="shared" si="3"/>
        <v>0.43197307355425851</v>
      </c>
      <c r="E11">
        <v>0</v>
      </c>
      <c r="F11">
        <v>-5.6994999999999702E-3</v>
      </c>
      <c r="G11">
        <v>-7.5610499999999997E-2</v>
      </c>
      <c r="H11">
        <v>-1.17130000000001E-2</v>
      </c>
      <c r="I11">
        <v>-6.9350000000000201E-3</v>
      </c>
      <c r="J11">
        <v>-1.2980749999999999E-2</v>
      </c>
      <c r="K11">
        <v>-4.87574999999996E-3</v>
      </c>
      <c r="L11">
        <v>7.0901249999999902E-2</v>
      </c>
      <c r="M11">
        <v>2.2451249999999898E-2</v>
      </c>
      <c r="N11">
        <v>3.2539999999999902E-2</v>
      </c>
      <c r="O11">
        <v>0.121485</v>
      </c>
      <c r="P11">
        <v>0.11963749999999999</v>
      </c>
      <c r="Q11">
        <v>2.2835000000000199E-2</v>
      </c>
      <c r="R11">
        <v>-2.0679999999999799E-2</v>
      </c>
      <c r="S11">
        <v>-3.9499999999970098E-4</v>
      </c>
      <c r="T11">
        <v>3.3450000000001499E-3</v>
      </c>
      <c r="U11">
        <v>-3.9649999999999998E-2</v>
      </c>
      <c r="V11">
        <v>5.1854999999999998E-2</v>
      </c>
      <c r="W11">
        <v>4.5940000000000099E-2</v>
      </c>
      <c r="X11">
        <v>2.84175000000002E-2</v>
      </c>
      <c r="Y11">
        <v>4.7810000000000102E-2</v>
      </c>
      <c r="Z11">
        <v>0.1096</v>
      </c>
      <c r="AA11">
        <v>2.91949999999996E-2</v>
      </c>
      <c r="AB11">
        <v>5.3764999999999799E-2</v>
      </c>
      <c r="AC11">
        <v>0.12778999999999999</v>
      </c>
      <c r="AD11">
        <v>0.176412500000001</v>
      </c>
      <c r="AE11">
        <v>0.109904999999999</v>
      </c>
      <c r="AF11">
        <v>0.19592499999999999</v>
      </c>
      <c r="AG11">
        <v>0.19071750000000001</v>
      </c>
      <c r="AH11">
        <v>0.53335500000000002</v>
      </c>
      <c r="AI11">
        <v>0.53499750000000101</v>
      </c>
      <c r="AJ11">
        <v>0.53185749999999998</v>
      </c>
      <c r="AK11">
        <v>0.966597500000001</v>
      </c>
      <c r="AL11">
        <v>0.92096</v>
      </c>
      <c r="AM11">
        <v>0.93125749999999996</v>
      </c>
      <c r="AN11">
        <v>1.0070049999999999</v>
      </c>
      <c r="AO11">
        <v>1.0861675</v>
      </c>
      <c r="AP11">
        <v>1.1307275000000001</v>
      </c>
      <c r="AQ11">
        <v>1.13354</v>
      </c>
      <c r="AR11">
        <v>1.2302525</v>
      </c>
      <c r="AS11">
        <v>1.3100350000000001</v>
      </c>
      <c r="AT11">
        <v>1.1857249999999999</v>
      </c>
      <c r="AU11">
        <v>1.1941824999999999</v>
      </c>
      <c r="AV11">
        <v>1.3155049999999999</v>
      </c>
      <c r="AW11">
        <v>1.3450899999999999</v>
      </c>
      <c r="AX11">
        <v>1.36477</v>
      </c>
      <c r="AY11">
        <v>1.4655674999999999</v>
      </c>
      <c r="AZ11">
        <v>1.4695750000000001</v>
      </c>
      <c r="BA11">
        <v>1.4818975000000001</v>
      </c>
      <c r="BB11">
        <v>1.5312174999999999</v>
      </c>
      <c r="BC11">
        <v>1.6127100000000001</v>
      </c>
      <c r="BD11">
        <v>1.6852825</v>
      </c>
      <c r="BE11">
        <v>1.6132825</v>
      </c>
      <c r="BF11">
        <v>1.6847624999999999</v>
      </c>
      <c r="BG11">
        <v>1.6035299999999999</v>
      </c>
      <c r="BH11">
        <v>1.6499216666666701</v>
      </c>
      <c r="BI11">
        <v>1.8024150000000001</v>
      </c>
      <c r="BJ11">
        <v>1.6615108333333299</v>
      </c>
      <c r="BK11">
        <v>1.67897583333333</v>
      </c>
      <c r="BL11">
        <v>1.7520058333333299</v>
      </c>
      <c r="BM11">
        <v>1.70913916666667</v>
      </c>
      <c r="BN11">
        <v>1.758675</v>
      </c>
      <c r="BO11">
        <v>1.76884666666667</v>
      </c>
      <c r="BP11">
        <v>1.7783199999999999</v>
      </c>
      <c r="BQ11">
        <v>1.9070941666666701</v>
      </c>
      <c r="BR11">
        <v>1.9519108333333299</v>
      </c>
      <c r="BS11">
        <v>1.87777666666667</v>
      </c>
      <c r="BT11">
        <v>1.92747916666667</v>
      </c>
      <c r="BU11">
        <v>1.95053583333333</v>
      </c>
      <c r="BV11">
        <v>2.0012275000000002</v>
      </c>
      <c r="BW11">
        <v>2.0074283333333298</v>
      </c>
      <c r="BX11">
        <v>2.0878100000000002</v>
      </c>
      <c r="BY11">
        <v>2.0418249999999998</v>
      </c>
      <c r="BZ11">
        <v>2.0910183333333299</v>
      </c>
      <c r="CA11">
        <v>1.9807650000000001</v>
      </c>
      <c r="CB11">
        <v>1.83059333333333</v>
      </c>
      <c r="CC11">
        <v>1.7695191666666701</v>
      </c>
    </row>
    <row r="12" spans="1:81" x14ac:dyDescent="0.25">
      <c r="A12">
        <v>2.2286033197659298</v>
      </c>
      <c r="B12">
        <f t="shared" si="2"/>
        <v>2.5807226442889464</v>
      </c>
      <c r="C12">
        <f t="shared" si="3"/>
        <v>0.44871152758806354</v>
      </c>
      <c r="E12">
        <v>0</v>
      </c>
      <c r="F12">
        <v>-4.7145000000000702E-3</v>
      </c>
      <c r="G12">
        <v>-8.8274750000000096E-2</v>
      </c>
      <c r="H12">
        <v>-1.1342E-2</v>
      </c>
      <c r="I12">
        <v>-1.005725E-2</v>
      </c>
      <c r="J12">
        <v>-1.2500249999999999E-2</v>
      </c>
      <c r="K12">
        <v>-1.2223249999999901E-2</v>
      </c>
      <c r="L12">
        <v>7.1864000000000205E-2</v>
      </c>
      <c r="M12">
        <v>2.1601249999999999E-2</v>
      </c>
      <c r="N12">
        <v>2.7979750000000001E-2</v>
      </c>
      <c r="O12">
        <v>0.11930250000000001</v>
      </c>
      <c r="P12">
        <v>0.1203925</v>
      </c>
      <c r="Q12">
        <v>1.9870000000000301E-2</v>
      </c>
      <c r="R12">
        <v>-2.65674999999999E-2</v>
      </c>
      <c r="S12">
        <v>-3.8599999999999698E-3</v>
      </c>
      <c r="T12">
        <v>4.1674999999998796E-3</v>
      </c>
      <c r="U12">
        <v>-4.8690000000000302E-2</v>
      </c>
      <c r="V12">
        <v>4.5885000000000398E-2</v>
      </c>
      <c r="W12">
        <v>4.12525000000004E-2</v>
      </c>
      <c r="X12">
        <v>1.94475000000001E-2</v>
      </c>
      <c r="Y12">
        <v>3.2840000000000202E-2</v>
      </c>
      <c r="Z12">
        <v>9.9994999999999404E-2</v>
      </c>
      <c r="AA12">
        <v>1.8194999999999999E-2</v>
      </c>
      <c r="AB12">
        <v>2.4262500000000301E-2</v>
      </c>
      <c r="AC12">
        <v>0.100370000000001</v>
      </c>
      <c r="AD12">
        <v>0.15174499999999999</v>
      </c>
      <c r="AE12">
        <v>4.5537499999999599E-2</v>
      </c>
      <c r="AF12">
        <v>0.12879499999999999</v>
      </c>
      <c r="AG12">
        <v>0.12989999999999999</v>
      </c>
      <c r="AH12">
        <v>0.4706225</v>
      </c>
      <c r="AI12">
        <v>0.47046250000000001</v>
      </c>
      <c r="AJ12">
        <v>0.4718</v>
      </c>
      <c r="AK12">
        <v>0.89388000000000101</v>
      </c>
      <c r="AL12">
        <v>0.84711499999999995</v>
      </c>
      <c r="AM12">
        <v>0.85600000000000098</v>
      </c>
      <c r="AN12">
        <v>0.92836249999999998</v>
      </c>
      <c r="AO12">
        <v>1.0079849999999999</v>
      </c>
      <c r="AP12">
        <v>1.058875</v>
      </c>
      <c r="AQ12">
        <v>1.06559</v>
      </c>
      <c r="AR12">
        <v>1.1705775</v>
      </c>
      <c r="AS12">
        <v>1.250745</v>
      </c>
      <c r="AT12">
        <v>1.1281699999999999</v>
      </c>
      <c r="AU12">
        <v>1.1373450000000001</v>
      </c>
      <c r="AV12">
        <v>1.2832125000000001</v>
      </c>
      <c r="AW12">
        <v>1.3375049999999999</v>
      </c>
      <c r="AX12">
        <v>1.3584099999999999</v>
      </c>
      <c r="AY12">
        <v>1.4760825</v>
      </c>
      <c r="AZ12">
        <v>1.47872</v>
      </c>
      <c r="BA12">
        <v>1.4913449999999999</v>
      </c>
      <c r="BB12">
        <v>1.547795</v>
      </c>
      <c r="BC12">
        <v>1.6388525</v>
      </c>
      <c r="BD12">
        <v>1.7674300000000001</v>
      </c>
      <c r="BE12">
        <v>1.7092891666666701</v>
      </c>
      <c r="BF12">
        <v>1.7963199999999999</v>
      </c>
      <c r="BG12">
        <v>1.71052166666667</v>
      </c>
      <c r="BH12">
        <v>1.77466833333333</v>
      </c>
      <c r="BI12">
        <v>1.93524416666667</v>
      </c>
      <c r="BJ12">
        <v>1.80075416666667</v>
      </c>
      <c r="BK12">
        <v>1.8231174999999999</v>
      </c>
      <c r="BL12">
        <v>1.8945333333333301</v>
      </c>
      <c r="BM12">
        <v>1.84991333333333</v>
      </c>
      <c r="BN12">
        <v>1.8955816666666701</v>
      </c>
      <c r="BO12">
        <v>1.90254833333333</v>
      </c>
      <c r="BP12">
        <v>1.9180675</v>
      </c>
      <c r="BQ12">
        <v>2.03592833333333</v>
      </c>
      <c r="BR12">
        <v>2.0811783333333298</v>
      </c>
      <c r="BS12">
        <v>2.01062583333333</v>
      </c>
      <c r="BT12">
        <v>2.0574591666666699</v>
      </c>
      <c r="BU12">
        <v>1.9661725000000001</v>
      </c>
      <c r="BV12">
        <v>2.0169074999999999</v>
      </c>
      <c r="BW12">
        <v>2.0297149999999999</v>
      </c>
      <c r="BX12">
        <v>2.1107524999999998</v>
      </c>
      <c r="BY12">
        <v>2.0689324999999998</v>
      </c>
      <c r="BZ12">
        <v>2.1227999999999998</v>
      </c>
      <c r="CA12">
        <v>2.0207950000000001</v>
      </c>
      <c r="CB12">
        <v>2.0207424999999999</v>
      </c>
      <c r="CC12">
        <v>2.0012650000000001</v>
      </c>
    </row>
    <row r="13" spans="1:81" x14ac:dyDescent="0.25">
      <c r="A13">
        <v>2.14224753392828</v>
      </c>
      <c r="B13">
        <f t="shared" si="2"/>
        <v>2.4807226442889481</v>
      </c>
      <c r="C13">
        <f t="shared" si="3"/>
        <v>0.46679946372316788</v>
      </c>
      <c r="E13">
        <v>0</v>
      </c>
      <c r="F13">
        <v>-1.0052999999999999E-2</v>
      </c>
      <c r="G13">
        <v>-9.2295500000000003E-2</v>
      </c>
      <c r="H13">
        <v>-2.6199500000000001E-2</v>
      </c>
      <c r="I13">
        <v>-1.5281249999999901E-2</v>
      </c>
      <c r="J13">
        <v>-1.9455E-2</v>
      </c>
      <c r="K13">
        <v>-1.8598750000000101E-2</v>
      </c>
      <c r="L13">
        <v>6.3210000000000197E-2</v>
      </c>
      <c r="M13">
        <v>1.45959999999998E-2</v>
      </c>
      <c r="N13">
        <v>1.9890000000000001E-2</v>
      </c>
      <c r="O13">
        <v>0.11773500000000001</v>
      </c>
      <c r="P13">
        <v>0.12001249999999999</v>
      </c>
      <c r="Q13">
        <v>1.21500000000001E-2</v>
      </c>
      <c r="R13">
        <v>-3.6180000000000101E-2</v>
      </c>
      <c r="S13">
        <v>-1.74574999999999E-2</v>
      </c>
      <c r="T13">
        <v>-1.71475000000001E-2</v>
      </c>
      <c r="U13">
        <v>-5.85775000000004E-2</v>
      </c>
      <c r="V13">
        <v>3.6047500000000003E-2</v>
      </c>
      <c r="W13">
        <v>3.5704999999999702E-2</v>
      </c>
      <c r="X13">
        <v>4.7475000000001301E-3</v>
      </c>
      <c r="Y13">
        <v>1.09849999999998E-2</v>
      </c>
      <c r="Z13">
        <v>8.7197499999999803E-2</v>
      </c>
      <c r="AA13">
        <v>1.2324999999999699E-3</v>
      </c>
      <c r="AB13">
        <v>-9.5249999999991197E-4</v>
      </c>
      <c r="AC13">
        <v>8.3907499999999996E-2</v>
      </c>
      <c r="AD13">
        <v>0.13019500000000001</v>
      </c>
      <c r="AE13">
        <v>-2.3250000000003498E-3</v>
      </c>
      <c r="AF13">
        <v>8.3359999999999407E-2</v>
      </c>
      <c r="AG13">
        <v>8.5537500000000002E-2</v>
      </c>
      <c r="AH13">
        <v>0.42085499999999998</v>
      </c>
      <c r="AI13">
        <v>0.42145250000000001</v>
      </c>
      <c r="AJ13">
        <v>0.420825</v>
      </c>
      <c r="AK13">
        <v>0.83956750000000002</v>
      </c>
      <c r="AL13">
        <v>0.78877249999999999</v>
      </c>
      <c r="AM13">
        <v>0.79623999999999995</v>
      </c>
      <c r="AN13">
        <v>0.87052499999999999</v>
      </c>
      <c r="AO13">
        <v>0.94905250000000096</v>
      </c>
      <c r="AP13">
        <v>0.99334250000000002</v>
      </c>
      <c r="AQ13">
        <v>1.0007600000000001</v>
      </c>
      <c r="AR13">
        <v>1.1161274999999999</v>
      </c>
      <c r="AS13">
        <v>1.192145</v>
      </c>
      <c r="AT13">
        <v>1.0683199999999999</v>
      </c>
      <c r="AU13">
        <v>1.0781750000000001</v>
      </c>
      <c r="AV13">
        <v>1.2386600000000001</v>
      </c>
      <c r="AW13">
        <v>1.30304</v>
      </c>
      <c r="AX13">
        <v>1.3247374999999999</v>
      </c>
      <c r="AY13">
        <v>1.4377450000000001</v>
      </c>
      <c r="AZ13">
        <v>1.4408300000000001</v>
      </c>
      <c r="BA13">
        <v>1.4525025</v>
      </c>
      <c r="BB13">
        <v>1.5047675</v>
      </c>
      <c r="BC13">
        <v>1.6079349999999999</v>
      </c>
      <c r="BD13">
        <v>1.731495</v>
      </c>
      <c r="BE13">
        <v>1.6889099999999999</v>
      </c>
      <c r="BF13">
        <v>1.7887200000000001</v>
      </c>
      <c r="BG13">
        <v>1.7075</v>
      </c>
      <c r="BH13">
        <v>1.7773524999999999</v>
      </c>
      <c r="BI13">
        <v>1.942515</v>
      </c>
      <c r="BJ13">
        <v>1.8136699999999999</v>
      </c>
      <c r="BK13">
        <v>1.8379875000000001</v>
      </c>
      <c r="BL13">
        <v>1.9136774999999999</v>
      </c>
      <c r="BM13">
        <v>1.8690175</v>
      </c>
      <c r="BN13">
        <v>1.9133275000000001</v>
      </c>
      <c r="BO13">
        <v>1.920185</v>
      </c>
      <c r="BP13">
        <v>1.9333475</v>
      </c>
      <c r="BQ13">
        <v>1.99882583333333</v>
      </c>
      <c r="BR13">
        <v>2.0486916666666701</v>
      </c>
      <c r="BS13">
        <v>1.9767933333333301</v>
      </c>
      <c r="BT13">
        <v>2.0190616666666701</v>
      </c>
      <c r="BU13">
        <v>2.0520550000000002</v>
      </c>
      <c r="BV13">
        <v>2.1063291666666699</v>
      </c>
      <c r="BW13">
        <v>2.1259933333333301</v>
      </c>
      <c r="BX13">
        <v>2.2093266666666702</v>
      </c>
      <c r="BY13">
        <v>2.1811025000000002</v>
      </c>
      <c r="BZ13">
        <v>2.24303083333333</v>
      </c>
      <c r="CA13">
        <v>2.1525391666666698</v>
      </c>
      <c r="CB13">
        <v>2.3635475000000001</v>
      </c>
      <c r="CC13">
        <v>2.3345324999999999</v>
      </c>
    </row>
    <row r="14" spans="1:81" x14ac:dyDescent="0.25">
      <c r="A14">
        <v>2.0558917480906298</v>
      </c>
      <c r="B14">
        <f t="shared" si="2"/>
        <v>2.3807226442889493</v>
      </c>
      <c r="C14">
        <f t="shared" si="3"/>
        <v>0.48640693311247096</v>
      </c>
      <c r="E14">
        <v>0</v>
      </c>
      <c r="F14">
        <v>-1.3912000000000001E-2</v>
      </c>
      <c r="G14">
        <v>-9.6193000000000001E-2</v>
      </c>
      <c r="H14">
        <v>-3.0689500000000002E-2</v>
      </c>
      <c r="I14">
        <v>-2.5222499999999901E-2</v>
      </c>
      <c r="J14">
        <v>-2.747875E-2</v>
      </c>
      <c r="K14">
        <v>-2.7074000000000001E-2</v>
      </c>
      <c r="L14">
        <v>5.8719999999999897E-2</v>
      </c>
      <c r="M14">
        <v>8.8984999999999204E-3</v>
      </c>
      <c r="N14">
        <v>1.5362000000000001E-2</v>
      </c>
      <c r="O14">
        <v>0.11755</v>
      </c>
      <c r="P14">
        <v>0.1224625</v>
      </c>
      <c r="Q14">
        <v>6.0874999999997997E-3</v>
      </c>
      <c r="R14">
        <v>-4.3304999999999899E-2</v>
      </c>
      <c r="S14">
        <v>-3.1232500000000201E-2</v>
      </c>
      <c r="T14">
        <v>-1.8085000000000101E-2</v>
      </c>
      <c r="U14">
        <v>-6.7320000000000102E-2</v>
      </c>
      <c r="V14">
        <v>2.9915000000000101E-2</v>
      </c>
      <c r="W14">
        <v>3.0982499999999701E-2</v>
      </c>
      <c r="X14">
        <v>-8.4224999999999994E-3</v>
      </c>
      <c r="Y14">
        <v>-1.1600000000000501E-3</v>
      </c>
      <c r="Z14">
        <v>7.7834999999999904E-2</v>
      </c>
      <c r="AA14">
        <v>-1.25850000000005E-2</v>
      </c>
      <c r="AB14">
        <v>-1.64074999999997E-2</v>
      </c>
      <c r="AC14">
        <v>7.1185000000000304E-2</v>
      </c>
      <c r="AD14">
        <v>0.12110750000000001</v>
      </c>
      <c r="AE14">
        <v>-2.1517499999999901E-2</v>
      </c>
      <c r="AF14">
        <v>6.4675000000000302E-2</v>
      </c>
      <c r="AG14">
        <v>7.1620000000000197E-2</v>
      </c>
      <c r="AH14">
        <v>0.24746750000000001</v>
      </c>
      <c r="AI14">
        <v>0.24739249999999999</v>
      </c>
      <c r="AJ14">
        <v>0.24407000000000001</v>
      </c>
      <c r="AK14">
        <v>0.61149750000000003</v>
      </c>
      <c r="AL14">
        <v>0.55865500000000001</v>
      </c>
      <c r="AM14">
        <v>0.56696999999999997</v>
      </c>
      <c r="AN14">
        <v>0.615865</v>
      </c>
      <c r="AO14">
        <v>0.69648750000000004</v>
      </c>
      <c r="AP14">
        <v>0.70991000000000104</v>
      </c>
      <c r="AQ14">
        <v>0.71023749999999897</v>
      </c>
      <c r="AR14">
        <v>0.83619000000000099</v>
      </c>
      <c r="AS14">
        <v>0.89800749999999896</v>
      </c>
      <c r="AT14">
        <v>0.77198250000000002</v>
      </c>
      <c r="AU14">
        <v>0.78391999999999895</v>
      </c>
      <c r="AV14">
        <v>0.95552250000000005</v>
      </c>
      <c r="AW14">
        <v>1.0220750000000001</v>
      </c>
      <c r="AX14">
        <v>1.0349999999999999</v>
      </c>
      <c r="AY14">
        <v>1.1517075000000001</v>
      </c>
      <c r="AZ14">
        <v>1.154525</v>
      </c>
      <c r="BA14">
        <v>1.1683775000000001</v>
      </c>
      <c r="BB14">
        <v>1.220035</v>
      </c>
      <c r="BC14">
        <v>1.322565</v>
      </c>
      <c r="BD14">
        <v>1.444895</v>
      </c>
      <c r="BE14">
        <v>1.3906525000000001</v>
      </c>
      <c r="BF14">
        <v>1.498705</v>
      </c>
      <c r="BG14">
        <v>1.4026400000000001</v>
      </c>
      <c r="BH14">
        <v>1.4788749999999999</v>
      </c>
      <c r="BI14">
        <v>1.6558275</v>
      </c>
      <c r="BJ14">
        <v>1.51295</v>
      </c>
      <c r="BK14">
        <v>1.5373725</v>
      </c>
      <c r="BL14">
        <v>1.6145624999999999</v>
      </c>
      <c r="BM14">
        <v>1.5655349999999999</v>
      </c>
      <c r="BN14">
        <v>1.6066100000000001</v>
      </c>
      <c r="BO14">
        <v>1.6111249999999999</v>
      </c>
      <c r="BP14">
        <v>1.6228374999999999</v>
      </c>
      <c r="BQ14">
        <v>1.704135</v>
      </c>
      <c r="BR14">
        <v>1.7541500000000001</v>
      </c>
      <c r="BS14">
        <v>1.6828525000000001</v>
      </c>
      <c r="BT14">
        <v>1.7162025000000001</v>
      </c>
      <c r="BU14">
        <v>1.745465</v>
      </c>
      <c r="BV14">
        <v>1.796905</v>
      </c>
      <c r="BW14">
        <v>1.81484</v>
      </c>
      <c r="BX14">
        <v>1.89991</v>
      </c>
      <c r="BY14">
        <v>1.8644875000000001</v>
      </c>
      <c r="BZ14">
        <v>1.933945</v>
      </c>
      <c r="CA14">
        <v>1.8285324999999999</v>
      </c>
      <c r="CB14">
        <v>1.9400975</v>
      </c>
      <c r="CC14">
        <v>1.9945200000000001</v>
      </c>
    </row>
    <row r="15" spans="1:81" x14ac:dyDescent="0.25">
      <c r="A15">
        <v>1.96953596225298</v>
      </c>
      <c r="B15">
        <f t="shared" si="2"/>
        <v>2.2807226442889506</v>
      </c>
      <c r="C15">
        <f t="shared" si="3"/>
        <v>0.50773381099174542</v>
      </c>
      <c r="E15">
        <v>0</v>
      </c>
      <c r="F15">
        <v>-1.6815750000000001E-2</v>
      </c>
      <c r="G15">
        <v>-0.10769624999999999</v>
      </c>
      <c r="H15">
        <v>-2.7793749999999999E-2</v>
      </c>
      <c r="I15">
        <v>-3.1713249999999901E-2</v>
      </c>
      <c r="J15">
        <v>-2.8146250000000001E-2</v>
      </c>
      <c r="K15">
        <v>-3.5211999999999903E-2</v>
      </c>
      <c r="L15">
        <v>6.10225E-2</v>
      </c>
      <c r="M15">
        <v>5.4065000000000901E-3</v>
      </c>
      <c r="N15">
        <v>9.6765000000000895E-3</v>
      </c>
      <c r="O15">
        <v>0.12180249999999999</v>
      </c>
      <c r="P15">
        <v>0.126335</v>
      </c>
      <c r="Q15">
        <v>1.0025000000000201E-3</v>
      </c>
      <c r="R15">
        <v>-5.02249999999997E-2</v>
      </c>
      <c r="S15">
        <v>-2.4612499999999898E-2</v>
      </c>
      <c r="T15">
        <v>-3.6735000000000198E-2</v>
      </c>
      <c r="U15">
        <v>-7.5604999999999895E-2</v>
      </c>
      <c r="V15">
        <v>2.7622499999999699E-2</v>
      </c>
      <c r="W15">
        <v>2.89325E-2</v>
      </c>
      <c r="X15">
        <v>-1.8007499999999999E-2</v>
      </c>
      <c r="Y15">
        <v>-1.26750000000002E-2</v>
      </c>
      <c r="Z15">
        <v>7.7174999999999994E-2</v>
      </c>
      <c r="AA15">
        <v>-2.8577499999999902E-2</v>
      </c>
      <c r="AB15">
        <v>-3.0432499999999901E-2</v>
      </c>
      <c r="AC15">
        <v>6.7252500000000395E-2</v>
      </c>
      <c r="AD15">
        <v>0.1204475</v>
      </c>
      <c r="AE15">
        <v>-4.0109999999999903E-2</v>
      </c>
      <c r="AF15">
        <v>5.11949999999999E-2</v>
      </c>
      <c r="AG15">
        <v>5.7684999999999799E-2</v>
      </c>
      <c r="AH15">
        <v>9.4587499999999394E-2</v>
      </c>
      <c r="AI15">
        <v>9.3367500000000297E-2</v>
      </c>
      <c r="AJ15">
        <v>9.2659999999999507E-2</v>
      </c>
      <c r="AK15">
        <v>0.41640750000000099</v>
      </c>
      <c r="AL15">
        <v>0.35692499999999999</v>
      </c>
      <c r="AM15">
        <v>0.36356250000000001</v>
      </c>
      <c r="AN15">
        <v>0.401089999999999</v>
      </c>
      <c r="AO15">
        <v>0.47754999999999997</v>
      </c>
      <c r="AP15">
        <v>0.46749749999999901</v>
      </c>
      <c r="AQ15">
        <v>0.47128999999999999</v>
      </c>
      <c r="AR15">
        <v>0.60894250000000005</v>
      </c>
      <c r="AS15">
        <v>0.65898250000000003</v>
      </c>
      <c r="AT15">
        <v>0.52925999999999995</v>
      </c>
      <c r="AU15">
        <v>0.53989750000000003</v>
      </c>
      <c r="AV15">
        <v>0.72940249999999995</v>
      </c>
      <c r="AW15">
        <v>0.80089250000000101</v>
      </c>
      <c r="AX15">
        <v>0.82072749999999906</v>
      </c>
      <c r="AY15">
        <v>0.93447499999999994</v>
      </c>
      <c r="AZ15">
        <v>0.94088000000000105</v>
      </c>
      <c r="BA15">
        <v>0.95232499999999998</v>
      </c>
      <c r="BB15">
        <v>1.0021925</v>
      </c>
      <c r="BC15">
        <v>1.1011225</v>
      </c>
      <c r="BD15">
        <v>1.2241975</v>
      </c>
      <c r="BE15">
        <v>1.165465</v>
      </c>
      <c r="BF15">
        <v>1.2780199999999999</v>
      </c>
      <c r="BG15">
        <v>1.17621</v>
      </c>
      <c r="BH15">
        <v>1.2532525000000001</v>
      </c>
      <c r="BI15">
        <v>1.444655</v>
      </c>
      <c r="BJ15">
        <v>1.2828250000000001</v>
      </c>
      <c r="BK15">
        <v>1.3024325000000001</v>
      </c>
      <c r="BL15">
        <v>1.3838649999999999</v>
      </c>
      <c r="BM15">
        <v>1.3312925</v>
      </c>
      <c r="BN15">
        <v>1.3658475000000001</v>
      </c>
      <c r="BO15">
        <v>1.3696649999999999</v>
      </c>
      <c r="BP15">
        <v>1.3812325000000001</v>
      </c>
      <c r="BQ15">
        <v>1.4537875</v>
      </c>
      <c r="BR15">
        <v>1.5096475</v>
      </c>
      <c r="BS15">
        <v>1.42811</v>
      </c>
      <c r="BT15">
        <v>1.4644999999999999</v>
      </c>
      <c r="BU15">
        <v>1.4903900000000001</v>
      </c>
      <c r="BV15">
        <v>1.5428725000000001</v>
      </c>
      <c r="BW15">
        <v>1.5601725</v>
      </c>
      <c r="BX15">
        <v>1.6495175</v>
      </c>
      <c r="BY15">
        <v>1.61022</v>
      </c>
      <c r="BZ15">
        <v>1.68221</v>
      </c>
      <c r="CA15">
        <v>1.5690474999999999</v>
      </c>
      <c r="CB15">
        <v>1.6809974999999999</v>
      </c>
      <c r="CC15">
        <v>1.7436825</v>
      </c>
    </row>
    <row r="16" spans="1:81" x14ac:dyDescent="0.25">
      <c r="A16">
        <v>1.88318017641533</v>
      </c>
      <c r="B16">
        <f t="shared" si="2"/>
        <v>2.1807226442889518</v>
      </c>
      <c r="C16">
        <f t="shared" si="3"/>
        <v>0.53101663479886418</v>
      </c>
      <c r="E16">
        <v>0</v>
      </c>
      <c r="F16">
        <v>-1.6559500000000098E-2</v>
      </c>
      <c r="G16">
        <v>-0.12627174999999999</v>
      </c>
      <c r="H16">
        <v>-3.8043500000000098E-2</v>
      </c>
      <c r="I16">
        <v>-3.734225E-2</v>
      </c>
      <c r="J16">
        <v>-3.44107499999999E-2</v>
      </c>
      <c r="K16">
        <v>-4.4479499999999998E-2</v>
      </c>
      <c r="L16">
        <v>6.4892500000000006E-2</v>
      </c>
      <c r="M16">
        <v>4.7277500000000297E-3</v>
      </c>
      <c r="N16">
        <v>5.3572499999999801E-3</v>
      </c>
      <c r="O16">
        <v>0.12847249999999999</v>
      </c>
      <c r="P16">
        <v>0.133295</v>
      </c>
      <c r="Q16">
        <v>1.07499999999927E-4</v>
      </c>
      <c r="R16">
        <v>-5.8935000000000203E-2</v>
      </c>
      <c r="S16">
        <v>-2.9950000000000102E-2</v>
      </c>
      <c r="T16">
        <v>-3.5244999999999999E-2</v>
      </c>
      <c r="U16">
        <v>-8.8227499999999903E-2</v>
      </c>
      <c r="V16">
        <v>2.7117499999999899E-2</v>
      </c>
      <c r="W16">
        <v>2.95075000000002E-2</v>
      </c>
      <c r="X16">
        <v>-2.3134999999999899E-2</v>
      </c>
      <c r="Y16">
        <v>-2.8020000000000201E-2</v>
      </c>
      <c r="Z16">
        <v>7.4442499999999995E-2</v>
      </c>
      <c r="AA16">
        <v>-4.4654999999999702E-2</v>
      </c>
      <c r="AB16">
        <v>-4.32199999999998E-2</v>
      </c>
      <c r="AC16">
        <v>6.6247499999999404E-2</v>
      </c>
      <c r="AD16">
        <v>0.12859999999999999</v>
      </c>
      <c r="AE16">
        <v>-6.0257500000000103E-2</v>
      </c>
      <c r="AF16">
        <v>4.4287500000000299E-2</v>
      </c>
      <c r="AG16">
        <v>4.9412499999999901E-2</v>
      </c>
      <c r="AH16">
        <v>-4.4574999999995599E-3</v>
      </c>
      <c r="AI16">
        <v>-1.26249999999972E-3</v>
      </c>
      <c r="AJ16">
        <v>-4.3099999999998096E-3</v>
      </c>
      <c r="AK16">
        <v>0.26528000000000101</v>
      </c>
      <c r="AL16">
        <v>0.19882749999999999</v>
      </c>
      <c r="AM16">
        <v>0.20585999999999999</v>
      </c>
      <c r="AN16">
        <v>0.244335</v>
      </c>
      <c r="AO16">
        <v>0.32340999999999998</v>
      </c>
      <c r="AP16">
        <v>0.31766</v>
      </c>
      <c r="AQ16">
        <v>0.31982250000000001</v>
      </c>
      <c r="AR16">
        <v>0.477147500000001</v>
      </c>
      <c r="AS16">
        <v>0.52393749999999994</v>
      </c>
      <c r="AT16">
        <v>0.36924000000000001</v>
      </c>
      <c r="AU16">
        <v>0.38007250000000098</v>
      </c>
      <c r="AV16">
        <v>0.58703499999999897</v>
      </c>
      <c r="AW16">
        <v>0.66684500000000002</v>
      </c>
      <c r="AX16">
        <v>0.683719999999999</v>
      </c>
      <c r="AY16">
        <v>0.78472249999999999</v>
      </c>
      <c r="AZ16">
        <v>0.78964333333333303</v>
      </c>
      <c r="BA16">
        <v>0.80655833333333304</v>
      </c>
      <c r="BB16">
        <v>0.84736583333333404</v>
      </c>
      <c r="BC16">
        <v>0.94492666666666703</v>
      </c>
      <c r="BD16">
        <v>1.0744658333333299</v>
      </c>
      <c r="BE16">
        <v>1.0001691666666701</v>
      </c>
      <c r="BF16">
        <v>1.1215725000000001</v>
      </c>
      <c r="BG16">
        <v>1.00444</v>
      </c>
      <c r="BH16">
        <v>1.0908466666666701</v>
      </c>
      <c r="BI16">
        <v>1.3066074999999999</v>
      </c>
      <c r="BJ16">
        <v>1.1278883333333301</v>
      </c>
      <c r="BK16">
        <v>1.1596316666666699</v>
      </c>
      <c r="BL16">
        <v>1.25326166666667</v>
      </c>
      <c r="BM16">
        <v>1.1855800000000001</v>
      </c>
      <c r="BN16">
        <v>1.22542666666667</v>
      </c>
      <c r="BO16">
        <v>1.23148416666667</v>
      </c>
      <c r="BP16">
        <v>1.24191583333333</v>
      </c>
      <c r="BQ16">
        <v>1.3566291666666701</v>
      </c>
      <c r="BR16">
        <v>1.42351916666667</v>
      </c>
      <c r="BS16">
        <v>1.3314566666666701</v>
      </c>
      <c r="BT16">
        <v>1.3658891666666699</v>
      </c>
      <c r="BU16">
        <v>1.39596916666667</v>
      </c>
      <c r="BV16">
        <v>1.45133666666667</v>
      </c>
      <c r="BW16">
        <v>1.4681041666666701</v>
      </c>
      <c r="BX16">
        <v>1.5687866666666701</v>
      </c>
      <c r="BY16">
        <v>1.5245816666666701</v>
      </c>
      <c r="BZ16">
        <v>1.60651416666667</v>
      </c>
      <c r="CA16">
        <v>1.4782025000000001</v>
      </c>
      <c r="CB16">
        <v>1.66215333333333</v>
      </c>
      <c r="CC16">
        <v>1.72728666666667</v>
      </c>
    </row>
    <row r="17" spans="1:81" x14ac:dyDescent="0.25">
      <c r="A17">
        <v>1.79682439057768</v>
      </c>
      <c r="B17">
        <f t="shared" si="2"/>
        <v>2.080722644288953</v>
      </c>
      <c r="C17">
        <f t="shared" si="3"/>
        <v>0.5565374141423467</v>
      </c>
      <c r="E17">
        <v>0</v>
      </c>
      <c r="F17">
        <v>-1.8832249999999998E-2</v>
      </c>
      <c r="G17">
        <v>-0.15320900000000001</v>
      </c>
      <c r="H17">
        <v>-4.49364999999999E-2</v>
      </c>
      <c r="I17">
        <v>-4.1834749999999997E-2</v>
      </c>
      <c r="J17">
        <v>-4.0178499999999999E-2</v>
      </c>
      <c r="K17">
        <v>-4.8479500000000002E-2</v>
      </c>
      <c r="L17">
        <v>7.0527500000000104E-2</v>
      </c>
      <c r="M17">
        <v>8.2499999999999796E-3</v>
      </c>
      <c r="N17">
        <v>4.9487499999999497E-3</v>
      </c>
      <c r="O17">
        <v>0.14244499999999999</v>
      </c>
      <c r="P17">
        <v>0.15601499999999999</v>
      </c>
      <c r="Q17">
        <v>-6.0324999999998904E-3</v>
      </c>
      <c r="R17">
        <v>-6.5072499999999894E-2</v>
      </c>
      <c r="S17">
        <v>-3.4847499999999899E-2</v>
      </c>
      <c r="T17">
        <v>-3.1637499999999999E-2</v>
      </c>
      <c r="U17">
        <v>-9.7847499999999907E-2</v>
      </c>
      <c r="V17">
        <v>3.5397499999999998E-2</v>
      </c>
      <c r="W17">
        <v>4.0249999999999897E-2</v>
      </c>
      <c r="X17">
        <v>-2.1674999999999701E-2</v>
      </c>
      <c r="Y17">
        <v>-3.3932500000000101E-2</v>
      </c>
      <c r="Z17">
        <v>8.7202500000000099E-2</v>
      </c>
      <c r="AA17">
        <v>-5.1549999999999797E-2</v>
      </c>
      <c r="AB17">
        <v>-4.67124999999999E-2</v>
      </c>
      <c r="AC17">
        <v>7.7270000000000005E-2</v>
      </c>
      <c r="AD17">
        <v>0.15189999999999901</v>
      </c>
      <c r="AE17">
        <v>-7.1832500000000202E-2</v>
      </c>
      <c r="AF17">
        <v>4.6027500000000103E-2</v>
      </c>
      <c r="AG17">
        <v>5.90475000000001E-2</v>
      </c>
      <c r="AH17">
        <v>-4.0917499999999898E-2</v>
      </c>
      <c r="AI17">
        <v>-3.9195000000000299E-2</v>
      </c>
      <c r="AJ17">
        <v>-3.97174999999996E-2</v>
      </c>
      <c r="AK17">
        <v>0.18515000000000001</v>
      </c>
      <c r="AL17">
        <v>0.106879999999999</v>
      </c>
      <c r="AM17">
        <v>0.11534749999999901</v>
      </c>
      <c r="AN17">
        <v>0.14156750000000001</v>
      </c>
      <c r="AO17">
        <v>0.21818000000000001</v>
      </c>
      <c r="AP17">
        <v>0.15152750000000001</v>
      </c>
      <c r="AQ17">
        <v>0.1485725</v>
      </c>
      <c r="AR17">
        <v>0.33461999999999897</v>
      </c>
      <c r="AS17">
        <v>0.35127750000000102</v>
      </c>
      <c r="AT17">
        <v>0.14801500000000101</v>
      </c>
      <c r="AU17">
        <v>0.15296500000000099</v>
      </c>
      <c r="AV17">
        <v>0.36525750000000001</v>
      </c>
      <c r="AW17">
        <v>0.446507499999999</v>
      </c>
      <c r="AX17">
        <v>0.41721249999999999</v>
      </c>
      <c r="AY17">
        <v>0.481367499999999</v>
      </c>
      <c r="AZ17">
        <v>0.483325000000001</v>
      </c>
      <c r="BA17">
        <v>0.50272249999999996</v>
      </c>
      <c r="BB17">
        <v>0.52081999999999895</v>
      </c>
      <c r="BC17">
        <v>0.57586499999999996</v>
      </c>
      <c r="BD17">
        <v>0.67102499999999798</v>
      </c>
      <c r="BE17">
        <v>0.56663750000000002</v>
      </c>
      <c r="BF17">
        <v>0.69671000000000005</v>
      </c>
      <c r="BG17">
        <v>0.55527000000000004</v>
      </c>
      <c r="BH17">
        <v>0.64509499999999997</v>
      </c>
      <c r="BI17">
        <v>0.88839000000000001</v>
      </c>
      <c r="BJ17">
        <v>0.67447749999999995</v>
      </c>
      <c r="BK17">
        <v>0.70936500000000002</v>
      </c>
      <c r="BL17">
        <v>0.80744249999999995</v>
      </c>
      <c r="BM17">
        <v>0.72214500000000004</v>
      </c>
      <c r="BN17">
        <v>0.7422725</v>
      </c>
      <c r="BO17">
        <v>0.74493500000000001</v>
      </c>
      <c r="BP17">
        <v>0.7523725</v>
      </c>
      <c r="BQ17">
        <v>1.2418075</v>
      </c>
      <c r="BR17">
        <v>1.31691</v>
      </c>
      <c r="BS17">
        <v>1.21506</v>
      </c>
      <c r="BT17">
        <v>1.2445999999999999</v>
      </c>
      <c r="BU17">
        <v>1.2742150000000001</v>
      </c>
      <c r="BV17">
        <v>1.33907</v>
      </c>
      <c r="BW17">
        <v>1.35768</v>
      </c>
      <c r="BX17">
        <v>1.4782275</v>
      </c>
      <c r="BY17">
        <v>1.4181975</v>
      </c>
      <c r="BZ17">
        <v>1.52108</v>
      </c>
      <c r="CA17">
        <v>1.363645</v>
      </c>
      <c r="CB17">
        <v>1.526915</v>
      </c>
      <c r="CC17">
        <v>1.6044575000000001</v>
      </c>
    </row>
    <row r="24" spans="1:81" x14ac:dyDescent="0.25">
      <c r="D24" s="2" t="str">
        <f t="shared" ref="B24:D25" si="4">D1</f>
        <v>P [kN]</v>
      </c>
      <c r="E24">
        <f>MAX($E1:E1)</f>
        <v>0</v>
      </c>
      <c r="F24">
        <f>MAX($E1:F1)</f>
        <v>49</v>
      </c>
      <c r="G24">
        <f>MAX($E1:G1)</f>
        <v>51</v>
      </c>
      <c r="H24">
        <f>MAX($E1:H1)</f>
        <v>51</v>
      </c>
      <c r="I24">
        <f>MAX($E1:I1)</f>
        <v>100</v>
      </c>
      <c r="J24">
        <f>MAX($E1:J1)</f>
        <v>100</v>
      </c>
      <c r="K24">
        <f>MAX($E1:K1)</f>
        <v>100</v>
      </c>
      <c r="L24">
        <f>MAX($E1:L1)</f>
        <v>125</v>
      </c>
      <c r="M24">
        <f>MAX($E1:M1)</f>
        <v>125</v>
      </c>
      <c r="N24">
        <f>MAX($E1:N1)</f>
        <v>125</v>
      </c>
      <c r="O24">
        <f>MAX($E1:O1)</f>
        <v>148</v>
      </c>
      <c r="P24">
        <f>MAX($E1:P1)</f>
        <v>150</v>
      </c>
      <c r="Q24">
        <f>MAX($E1:Q1)</f>
        <v>150</v>
      </c>
      <c r="R24">
        <f>MAX($E1:R1)</f>
        <v>152</v>
      </c>
      <c r="S24">
        <f>MAX($E1:S1)</f>
        <v>152</v>
      </c>
      <c r="T24">
        <f>MAX($E1:T1)</f>
        <v>152</v>
      </c>
      <c r="U24">
        <f>MAX($E1:U1)</f>
        <v>152</v>
      </c>
      <c r="V24">
        <f>MAX($E1:V1)</f>
        <v>152</v>
      </c>
      <c r="W24">
        <f>MAX($E1:W1)</f>
        <v>152</v>
      </c>
      <c r="X24">
        <f>MAX($E1:X1)</f>
        <v>152</v>
      </c>
      <c r="Y24">
        <f>MAX($E1:Y1)</f>
        <v>152</v>
      </c>
      <c r="Z24">
        <f>MAX($E1:Z1)</f>
        <v>152</v>
      </c>
      <c r="AA24">
        <f>MAX($E1:AA1)</f>
        <v>152</v>
      </c>
      <c r="AB24">
        <f>MAX($E1:AB1)</f>
        <v>159</v>
      </c>
      <c r="AC24">
        <f>MAX($E1:AC1)</f>
        <v>159</v>
      </c>
      <c r="AD24">
        <f>MAX($E1:AD1)</f>
        <v>159</v>
      </c>
      <c r="AE24">
        <f>MAX($E1:AE1)</f>
        <v>175</v>
      </c>
      <c r="AF24">
        <f>MAX($E1:AF1)</f>
        <v>175</v>
      </c>
      <c r="AG24">
        <f>MAX($E1:AG1)</f>
        <v>175</v>
      </c>
      <c r="AH24">
        <f>MAX($E1:AH1)</f>
        <v>175</v>
      </c>
      <c r="AI24">
        <f>MAX($E1:AI1)</f>
        <v>175</v>
      </c>
      <c r="AJ24">
        <f>MAX($E1:AJ1)</f>
        <v>175</v>
      </c>
      <c r="AK24">
        <f>MAX($E1:AK1)</f>
        <v>175</v>
      </c>
      <c r="AL24">
        <f>MAX($E1:AL1)</f>
        <v>175</v>
      </c>
      <c r="AM24">
        <f>MAX($E1:AM1)</f>
        <v>176</v>
      </c>
      <c r="AN24">
        <f>MAX($E1:AN1)</f>
        <v>183</v>
      </c>
      <c r="AO24">
        <f>MAX($E1:AO1)</f>
        <v>186</v>
      </c>
      <c r="AP24">
        <f>MAX($E1:AP1)</f>
        <v>199</v>
      </c>
      <c r="AQ24">
        <f>MAX($E1:AQ1)</f>
        <v>200</v>
      </c>
      <c r="AR24">
        <f>MAX($E1:AR1)</f>
        <v>200</v>
      </c>
      <c r="AS24">
        <f>MAX($E1:AS1)</f>
        <v>209</v>
      </c>
      <c r="AT24">
        <f>MAX($E1:AT1)</f>
        <v>210</v>
      </c>
      <c r="AU24">
        <f>MAX($E1:AU1)</f>
        <v>210</v>
      </c>
      <c r="AV24">
        <f>MAX($E1:AV1)</f>
        <v>211</v>
      </c>
      <c r="AW24">
        <f>MAX($E1:AW1)</f>
        <v>211</v>
      </c>
      <c r="AX24">
        <f>MAX($E1:AX1)</f>
        <v>213</v>
      </c>
      <c r="AY24">
        <f>MAX($E1:AY1)</f>
        <v>224</v>
      </c>
      <c r="AZ24">
        <f>MAX($E1:AZ1)</f>
        <v>225</v>
      </c>
      <c r="BA24">
        <f>MAX($E1:BA1)</f>
        <v>225</v>
      </c>
      <c r="BB24">
        <f>MAX($E1:BB1)</f>
        <v>233</v>
      </c>
      <c r="BC24">
        <f>MAX($E1:BC1)</f>
        <v>238</v>
      </c>
      <c r="BD24">
        <f>MAX($E1:BD1)</f>
        <v>238</v>
      </c>
      <c r="BE24">
        <f>MAX($E1:BE1)</f>
        <v>238</v>
      </c>
      <c r="BF24">
        <f>MAX($E1:BF1)</f>
        <v>238</v>
      </c>
      <c r="BG24">
        <f>MAX($E1:BG1)</f>
        <v>238</v>
      </c>
      <c r="BH24">
        <f>MAX($E1:BH1)</f>
        <v>238</v>
      </c>
      <c r="BI24">
        <f>MAX($E1:BI1)</f>
        <v>238</v>
      </c>
      <c r="BJ24">
        <f>MAX($E1:BJ1)</f>
        <v>238</v>
      </c>
      <c r="BK24">
        <f>MAX($E1:BK1)</f>
        <v>238</v>
      </c>
      <c r="BL24">
        <f>MAX($E1:BL1)</f>
        <v>238</v>
      </c>
      <c r="BM24">
        <f>MAX($E1:BM1)</f>
        <v>238</v>
      </c>
      <c r="BN24">
        <f>MAX($E1:BN1)</f>
        <v>238</v>
      </c>
      <c r="BO24">
        <f>MAX($E1:BO1)</f>
        <v>238</v>
      </c>
      <c r="BP24">
        <f>MAX($E1:BP1)</f>
        <v>238</v>
      </c>
      <c r="BQ24">
        <f>MAX($E1:BQ1)</f>
        <v>249</v>
      </c>
      <c r="BR24">
        <f>MAX($E1:BR1)</f>
        <v>250</v>
      </c>
      <c r="BS24">
        <f>MAX($E1:BS1)</f>
        <v>250</v>
      </c>
      <c r="BT24">
        <f>MAX($E1:BT1)</f>
        <v>255</v>
      </c>
      <c r="BU24">
        <f>MAX($E1:BU1)</f>
        <v>259</v>
      </c>
      <c r="BV24">
        <f>MAX($E1:BV1)</f>
        <v>260</v>
      </c>
      <c r="BW24">
        <f>MAX($E1:BW1)</f>
        <v>265</v>
      </c>
      <c r="BX24">
        <f>MAX($E1:BX1)</f>
        <v>265</v>
      </c>
      <c r="BY24">
        <f>MAX($E1:BY1)</f>
        <v>268</v>
      </c>
      <c r="BZ24">
        <f>MAX($E1:BZ1)</f>
        <v>268</v>
      </c>
      <c r="CA24">
        <f>MAX($E1:CA1)</f>
        <v>268</v>
      </c>
      <c r="CB24">
        <f>MAX($E1:CB1)</f>
        <v>269</v>
      </c>
      <c r="CC24">
        <f>MAX($E1:CC1)</f>
        <v>269</v>
      </c>
    </row>
    <row r="25" spans="1:81" x14ac:dyDescent="0.25">
      <c r="A25" s="2" t="str">
        <f>A2</f>
        <v>M/(Vd)</v>
      </c>
      <c r="B25" s="2" t="str">
        <f t="shared" si="4"/>
        <v>x</v>
      </c>
      <c r="C25" s="2" t="str">
        <f t="shared" si="4"/>
        <v>Vd/M</v>
      </c>
      <c r="D25" s="2" t="str">
        <f t="shared" si="4"/>
        <v>V [kN]</v>
      </c>
      <c r="E25">
        <f>MAX($E2:E2)</f>
        <v>30</v>
      </c>
      <c r="F25">
        <f>MAX($E2:F2)</f>
        <v>57.222222439999996</v>
      </c>
      <c r="G25">
        <f>MAX($E2:G2)</f>
        <v>58.33333356</v>
      </c>
      <c r="H25">
        <f>MAX($E2:H2)</f>
        <v>58.33333356</v>
      </c>
      <c r="I25">
        <f>MAX($E2:I2)</f>
        <v>85.555555999999996</v>
      </c>
      <c r="J25">
        <f>MAX($E2:J2)</f>
        <v>85.555555999999996</v>
      </c>
      <c r="K25">
        <f>MAX($E2:K2)</f>
        <v>85.555555999999996</v>
      </c>
      <c r="L25">
        <f>MAX($E2:L2)</f>
        <v>99.444444999999988</v>
      </c>
      <c r="M25">
        <f>MAX($E2:M2)</f>
        <v>99.444444999999988</v>
      </c>
      <c r="N25">
        <f>MAX($E2:N2)</f>
        <v>99.444444999999988</v>
      </c>
      <c r="O25">
        <f>MAX($E2:O2)</f>
        <v>112.22222287999999</v>
      </c>
      <c r="P25">
        <f>MAX($E2:P2)</f>
        <v>113.33333399999999</v>
      </c>
      <c r="Q25">
        <f>MAX($E2:Q2)</f>
        <v>113.33333399999999</v>
      </c>
      <c r="R25">
        <f>MAX($E2:R2)</f>
        <v>114.44444512</v>
      </c>
      <c r="S25">
        <f>MAX($E2:S2)</f>
        <v>114.44444512</v>
      </c>
      <c r="T25">
        <f>MAX($E2:T2)</f>
        <v>114.44444512</v>
      </c>
      <c r="U25">
        <f>MAX($E2:U2)</f>
        <v>114.44444512</v>
      </c>
      <c r="V25">
        <f>MAX($E2:V2)</f>
        <v>114.44444512</v>
      </c>
      <c r="W25">
        <f>MAX($E2:W2)</f>
        <v>114.44444512</v>
      </c>
      <c r="X25">
        <f>MAX($E2:X2)</f>
        <v>114.44444512</v>
      </c>
      <c r="Y25">
        <f>MAX($E2:Y2)</f>
        <v>114.44444512</v>
      </c>
      <c r="Z25">
        <f>MAX($E2:Z2)</f>
        <v>114.44444512</v>
      </c>
      <c r="AA25">
        <f>MAX($E2:AA2)</f>
        <v>114.44444512</v>
      </c>
      <c r="AB25">
        <f>MAX($E2:AB2)</f>
        <v>118.33333404</v>
      </c>
      <c r="AC25">
        <f>MAX($E2:AC2)</f>
        <v>118.33333404</v>
      </c>
      <c r="AD25">
        <f>MAX($E2:AD2)</f>
        <v>118.33333404</v>
      </c>
      <c r="AE25">
        <f>MAX($E2:AE2)</f>
        <v>127.22222299999999</v>
      </c>
      <c r="AF25">
        <f>MAX($E2:AF2)</f>
        <v>127.22222299999999</v>
      </c>
      <c r="AG25">
        <f>MAX($E2:AG2)</f>
        <v>127.22222299999999</v>
      </c>
      <c r="AH25">
        <f>MAX($E2:AH2)</f>
        <v>127.22222299999999</v>
      </c>
      <c r="AI25">
        <f>MAX($E2:AI2)</f>
        <v>127.22222299999999</v>
      </c>
      <c r="AJ25">
        <f>MAX($E2:AJ2)</f>
        <v>127.22222299999999</v>
      </c>
      <c r="AK25">
        <f>MAX($E2:AK2)</f>
        <v>127.22222299999999</v>
      </c>
      <c r="AL25">
        <f>MAX($E2:AL2)</f>
        <v>127.22222299999999</v>
      </c>
      <c r="AM25">
        <f>MAX($E2:AM2)</f>
        <v>127.77777855999999</v>
      </c>
      <c r="AN25">
        <f>MAX($E2:AN2)</f>
        <v>131.66666748</v>
      </c>
      <c r="AO25">
        <f>MAX($E2:AO2)</f>
        <v>133.33333415999999</v>
      </c>
      <c r="AP25">
        <f>MAX($E2:AP2)</f>
        <v>140.55555643999998</v>
      </c>
      <c r="AQ25">
        <f>MAX($E2:AQ2)</f>
        <v>141.11111199999999</v>
      </c>
      <c r="AR25">
        <f>MAX($E2:AR2)</f>
        <v>141.11111199999999</v>
      </c>
      <c r="AS25">
        <f>MAX($E2:AS2)</f>
        <v>146.11111203999999</v>
      </c>
      <c r="AT25">
        <f>MAX($E2:AT2)</f>
        <v>146.66666759999998</v>
      </c>
      <c r="AU25">
        <f>MAX($E2:AU2)</f>
        <v>146.66666759999998</v>
      </c>
      <c r="AV25">
        <f>MAX($E2:AV2)</f>
        <v>147.22222316</v>
      </c>
      <c r="AW25">
        <f>MAX($E2:AW2)</f>
        <v>147.22222316</v>
      </c>
      <c r="AX25">
        <f>MAX($E2:AX2)</f>
        <v>148.33333427999997</v>
      </c>
      <c r="AY25">
        <f>MAX($E2:AY2)</f>
        <v>154.44444543999998</v>
      </c>
      <c r="AZ25">
        <f>MAX($E2:AZ2)</f>
        <v>155.000001</v>
      </c>
      <c r="BA25">
        <f>MAX($E2:BA2)</f>
        <v>155.000001</v>
      </c>
      <c r="BB25">
        <f>MAX($E2:BB2)</f>
        <v>159.44444547999998</v>
      </c>
      <c r="BC25">
        <f>MAX($E2:BC2)</f>
        <v>162.22222327999998</v>
      </c>
      <c r="BD25">
        <f>MAX($E2:BD2)</f>
        <v>162.22222327999998</v>
      </c>
      <c r="BE25">
        <f>MAX($E2:BE2)</f>
        <v>162.22222327999998</v>
      </c>
      <c r="BF25">
        <f>MAX($E2:BF2)</f>
        <v>162.22222327999998</v>
      </c>
      <c r="BG25">
        <f>MAX($E2:BG2)</f>
        <v>162.22222327999998</v>
      </c>
      <c r="BH25">
        <f>MAX($E2:BH2)</f>
        <v>162.22222327999998</v>
      </c>
      <c r="BI25">
        <f>MAX($E2:BI2)</f>
        <v>162.22222327999998</v>
      </c>
      <c r="BJ25">
        <f>MAX($E2:BJ2)</f>
        <v>162.22222327999998</v>
      </c>
      <c r="BK25">
        <f>MAX($E2:BK2)</f>
        <v>162.22222327999998</v>
      </c>
      <c r="BL25">
        <f>MAX($E2:BL2)</f>
        <v>162.22222327999998</v>
      </c>
      <c r="BM25">
        <f>MAX($E2:BM2)</f>
        <v>162.22222327999998</v>
      </c>
      <c r="BN25">
        <f>MAX($E2:BN2)</f>
        <v>162.22222327999998</v>
      </c>
      <c r="BO25">
        <f>MAX($E2:BO2)</f>
        <v>162.22222327999998</v>
      </c>
      <c r="BP25">
        <f>MAX($E2:BP2)</f>
        <v>162.22222327999998</v>
      </c>
      <c r="BQ25">
        <f>MAX($E2:BQ2)</f>
        <v>168.33333443999999</v>
      </c>
      <c r="BR25">
        <f>MAX($E2:BR2)</f>
        <v>168.88888999999998</v>
      </c>
      <c r="BS25">
        <f>MAX($E2:BS2)</f>
        <v>168.88888999999998</v>
      </c>
      <c r="BT25">
        <f>MAX($E2:BT2)</f>
        <v>171.6666678</v>
      </c>
      <c r="BU25">
        <f>MAX($E2:BU2)</f>
        <v>173.88889003999998</v>
      </c>
      <c r="BV25">
        <f>MAX($E2:BV2)</f>
        <v>174.44444559999999</v>
      </c>
      <c r="BW25">
        <f>MAX($E2:BW2)</f>
        <v>177.22222339999999</v>
      </c>
      <c r="BX25">
        <f>MAX($E2:BX2)</f>
        <v>177.22222339999999</v>
      </c>
      <c r="BY25">
        <f>MAX($E2:BY2)</f>
        <v>178.88889007999998</v>
      </c>
      <c r="BZ25">
        <f>MAX($E2:BZ2)</f>
        <v>178.88889007999998</v>
      </c>
      <c r="CA25">
        <f>MAX($E2:CA2)</f>
        <v>178.88889007999998</v>
      </c>
      <c r="CB25">
        <f>MAX($E2:CB2)</f>
        <v>179.44444564</v>
      </c>
      <c r="CC25">
        <f>MAX($E2:CC2)</f>
        <v>179.44444564</v>
      </c>
    </row>
    <row r="26" spans="1:81" x14ac:dyDescent="0.25">
      <c r="A26">
        <f>A3</f>
        <v>3.00580539230479</v>
      </c>
      <c r="B26">
        <f t="shared" ref="B26" si="5">B3</f>
        <v>3.4807226442889467</v>
      </c>
      <c r="C26">
        <f>C3</f>
        <v>0.33268953557675951</v>
      </c>
      <c r="E26">
        <f>MAX($E3:E3)</f>
        <v>0</v>
      </c>
      <c r="F26">
        <f>MAX($E3:F3)</f>
        <v>2.8657249999999999E-2</v>
      </c>
      <c r="G26">
        <f>MAX($E3:G3)</f>
        <v>2.8657249999999999E-2</v>
      </c>
      <c r="H26">
        <f>MAX($E3:H3)</f>
        <v>2.8657249999999999E-2</v>
      </c>
      <c r="I26">
        <f>MAX($E3:I3)</f>
        <v>3.0153249999999899E-2</v>
      </c>
      <c r="J26">
        <f>MAX($E3:J3)</f>
        <v>3.0153249999999899E-2</v>
      </c>
      <c r="K26">
        <f>MAX($E3:K3)</f>
        <v>3.0153249999999899E-2</v>
      </c>
      <c r="L26">
        <f>MAX($E3:L3)</f>
        <v>0.10399875</v>
      </c>
      <c r="M26">
        <f>MAX($E3:M3)</f>
        <v>0.10399875</v>
      </c>
      <c r="N26">
        <f>MAX($E3:N3)</f>
        <v>0.10399875</v>
      </c>
      <c r="O26">
        <f>MAX($E3:O3)</f>
        <v>0.15927674999999999</v>
      </c>
      <c r="P26">
        <f>MAX($E3:P3)</f>
        <v>0.15927674999999999</v>
      </c>
      <c r="Q26">
        <f>MAX($E3:Q3)</f>
        <v>0.15927674999999999</v>
      </c>
      <c r="R26">
        <f>MAX($E3:R3)</f>
        <v>0.15927674999999999</v>
      </c>
      <c r="S26">
        <f>MAX($E3:S3)</f>
        <v>0.15927674999999999</v>
      </c>
      <c r="T26">
        <f>MAX($E3:T3)</f>
        <v>0.15927674999999999</v>
      </c>
      <c r="U26">
        <f>MAX($E3:U3)</f>
        <v>0.26008500000000001</v>
      </c>
      <c r="V26">
        <f>MAX($E3:V3)</f>
        <v>0.36847750000000001</v>
      </c>
      <c r="W26">
        <f>MAX($E3:W3)</f>
        <v>0.3787625</v>
      </c>
      <c r="X26">
        <f>MAX($E3:X3)</f>
        <v>0.7063275</v>
      </c>
      <c r="Y26">
        <f>MAX($E3:Y3)</f>
        <v>0.9544975</v>
      </c>
      <c r="Z26">
        <f>MAX($E3:Z3)</f>
        <v>1.0243225</v>
      </c>
      <c r="AA26">
        <f>MAX($E3:AA3)</f>
        <v>1.0243225</v>
      </c>
      <c r="AB26">
        <f>MAX($E3:AB3)</f>
        <v>1.0775375</v>
      </c>
      <c r="AC26">
        <f>MAX($E3:AC3)</f>
        <v>1.1540600000000001</v>
      </c>
      <c r="AD26">
        <f>MAX($E3:AD3)</f>
        <v>1.1933175</v>
      </c>
      <c r="AE26">
        <f>MAX($E3:AE3)</f>
        <v>1.3963975</v>
      </c>
      <c r="AF26">
        <f>MAX($E3:AF3)</f>
        <v>1.47997</v>
      </c>
      <c r="AG26">
        <f>MAX($E3:AG3)</f>
        <v>1.47997</v>
      </c>
      <c r="AH26">
        <f>MAX($E3:AH3)</f>
        <v>1.47997</v>
      </c>
      <c r="AI26">
        <f>MAX($E3:AI3)</f>
        <v>1.47997</v>
      </c>
      <c r="AJ26">
        <f>MAX($E3:AJ3)</f>
        <v>1.47997</v>
      </c>
      <c r="AK26">
        <f>MAX($E3:AK3)</f>
        <v>1.5713200000000001</v>
      </c>
      <c r="AL26">
        <f>MAX($E3:AL3)</f>
        <v>1.5713200000000001</v>
      </c>
      <c r="AM26">
        <f>MAX($E3:AM3)</f>
        <v>1.5713200000000001</v>
      </c>
      <c r="AN26">
        <f>MAX($E3:AN3)</f>
        <v>1.572235</v>
      </c>
      <c r="AO26">
        <f>MAX($E3:AO3)</f>
        <v>1.6449849999999999</v>
      </c>
      <c r="AP26">
        <f>MAX($E3:AP3)</f>
        <v>1.6696850000000001</v>
      </c>
      <c r="AQ26">
        <f>MAX($E3:AQ3)</f>
        <v>1.672185</v>
      </c>
      <c r="AR26">
        <f>MAX($E3:AR3)</f>
        <v>1.7637674999999999</v>
      </c>
      <c r="AS26">
        <f>MAX($E3:AS3)</f>
        <v>1.8365899999999999</v>
      </c>
      <c r="AT26">
        <f>MAX($E3:AT3)</f>
        <v>1.8365899999999999</v>
      </c>
      <c r="AU26">
        <f>MAX($E3:AU3)</f>
        <v>1.8365899999999999</v>
      </c>
      <c r="AV26">
        <f>MAX($E3:AV3)</f>
        <v>1.8365899999999999</v>
      </c>
      <c r="AW26">
        <f>MAX($E3:AW3)</f>
        <v>1.8365899999999999</v>
      </c>
      <c r="AX26">
        <f>MAX($E3:AX3)</f>
        <v>1.8365899999999999</v>
      </c>
      <c r="AY26">
        <f>MAX($E3:AY3)</f>
        <v>1.9121575</v>
      </c>
      <c r="AZ26">
        <f>MAX($E3:AZ3)</f>
        <v>1.9121575</v>
      </c>
      <c r="BA26">
        <f>MAX($E3:BA3)</f>
        <v>1.9267675</v>
      </c>
      <c r="BB26">
        <f>MAX($E3:BB3)</f>
        <v>1.9956125</v>
      </c>
      <c r="BC26">
        <f>MAX($E3:BC3)</f>
        <v>2.0128575</v>
      </c>
      <c r="BD26">
        <f>MAX($E3:BD3)</f>
        <v>2.0168175000000002</v>
      </c>
      <c r="BE26">
        <f>MAX($E3:BE3)</f>
        <v>2.0168175000000002</v>
      </c>
      <c r="BF26">
        <f>MAX($E3:BF3)</f>
        <v>2.0168175000000002</v>
      </c>
      <c r="BG26">
        <f>MAX($E3:BG3)</f>
        <v>2.0168175000000002</v>
      </c>
      <c r="BH26">
        <f>MAX($E3:BH3)</f>
        <v>2.0168175000000002</v>
      </c>
      <c r="BI26">
        <f>MAX($E3:BI3)</f>
        <v>2.0634225000000002</v>
      </c>
      <c r="BJ26">
        <f>MAX($E3:BJ3)</f>
        <v>2.0634225000000002</v>
      </c>
      <c r="BK26">
        <f>MAX($E3:BK3)</f>
        <v>2.0634225000000002</v>
      </c>
      <c r="BL26">
        <f>MAX($E3:BL3)</f>
        <v>2.0634225000000002</v>
      </c>
      <c r="BM26">
        <f>MAX($E3:BM3)</f>
        <v>2.0634225000000002</v>
      </c>
      <c r="BN26">
        <f>MAX($E3:BN3)</f>
        <v>2.0634225000000002</v>
      </c>
      <c r="BO26">
        <f>MAX($E3:BO3)</f>
        <v>2.0634225000000002</v>
      </c>
      <c r="BP26">
        <f>MAX($E3:BP3)</f>
        <v>2.0634225000000002</v>
      </c>
      <c r="BQ26">
        <f>MAX($E3:BQ3)</f>
        <v>2.0634225000000002</v>
      </c>
      <c r="BR26">
        <f>MAX($E3:BR3)</f>
        <v>2.0716825000000001</v>
      </c>
      <c r="BS26">
        <f>MAX($E3:BS3)</f>
        <v>2.0716825000000001</v>
      </c>
      <c r="BT26">
        <f>MAX($E3:BT3)</f>
        <v>2.0716825000000001</v>
      </c>
      <c r="BU26">
        <f>MAX($E3:BU3)</f>
        <v>2.0724575000000001</v>
      </c>
      <c r="BV26">
        <f>MAX($E3:BV3)</f>
        <v>2.1084774999999998</v>
      </c>
      <c r="BW26">
        <f>MAX($E3:BW3)</f>
        <v>2.1280975</v>
      </c>
      <c r="BX26">
        <f>MAX($E3:BX3)</f>
        <v>2.2082649999999999</v>
      </c>
      <c r="BY26">
        <f>MAX($E3:BY3)</f>
        <v>2.2082649999999999</v>
      </c>
      <c r="BZ26">
        <f>MAX($E3:BZ3)</f>
        <v>2.2161325000000001</v>
      </c>
      <c r="CA26">
        <f>MAX($E3:CA3)</f>
        <v>2.2161325000000001</v>
      </c>
      <c r="CB26">
        <f>MAX($E3:CB3)</f>
        <v>2.2161325000000001</v>
      </c>
      <c r="CC26">
        <f>MAX($E3:CC3)</f>
        <v>2.2161325000000001</v>
      </c>
    </row>
    <row r="27" spans="1:81" x14ac:dyDescent="0.25">
      <c r="A27">
        <f t="shared" ref="A27:C40" si="6">A4</f>
        <v>2.9194496064671398</v>
      </c>
      <c r="B27">
        <f t="shared" si="6"/>
        <v>3.3807226442889475</v>
      </c>
      <c r="C27">
        <f t="shared" si="6"/>
        <v>0.34253031728474043</v>
      </c>
      <c r="E27">
        <f>MAX($E4:E4)</f>
        <v>0</v>
      </c>
      <c r="F27">
        <f>MAX($E4:F4)</f>
        <v>2.2082750000000002E-2</v>
      </c>
      <c r="G27">
        <f>MAX($E4:G4)</f>
        <v>2.2082750000000002E-2</v>
      </c>
      <c r="H27">
        <f>MAX($E4:H4)</f>
        <v>2.2082750000000002E-2</v>
      </c>
      <c r="I27">
        <f>MAX($E4:I4)</f>
        <v>2.7119500000000001E-2</v>
      </c>
      <c r="J27">
        <f>MAX($E4:J4)</f>
        <v>2.7119500000000001E-2</v>
      </c>
      <c r="K27">
        <f>MAX($E4:K4)</f>
        <v>2.7119500000000001E-2</v>
      </c>
      <c r="L27">
        <f>MAX($E4:L4)</f>
        <v>9.5011499999999999E-2</v>
      </c>
      <c r="M27">
        <f>MAX($E4:M4)</f>
        <v>9.5011499999999999E-2</v>
      </c>
      <c r="N27">
        <f>MAX($E4:N4)</f>
        <v>9.5011499999999999E-2</v>
      </c>
      <c r="O27">
        <f>MAX($E4:O4)</f>
        <v>0.150198</v>
      </c>
      <c r="P27">
        <f>MAX($E4:P4)</f>
        <v>0.150198</v>
      </c>
      <c r="Q27">
        <f>MAX($E4:Q4)</f>
        <v>0.150198</v>
      </c>
      <c r="R27">
        <f>MAX($E4:R4)</f>
        <v>0.150198</v>
      </c>
      <c r="S27">
        <f>MAX($E4:S4)</f>
        <v>0.150198</v>
      </c>
      <c r="T27">
        <f>MAX($E4:T4)</f>
        <v>0.150198</v>
      </c>
      <c r="U27">
        <f>MAX($E4:U4)</f>
        <v>0.16325000000000001</v>
      </c>
      <c r="V27">
        <f>MAX($E4:V4)</f>
        <v>0.26457999999999998</v>
      </c>
      <c r="W27">
        <f>MAX($E4:W4)</f>
        <v>0.27142749999999999</v>
      </c>
      <c r="X27">
        <f>MAX($E4:X4)</f>
        <v>0.56315999999999999</v>
      </c>
      <c r="Y27">
        <f>MAX($E4:Y4)</f>
        <v>0.77866250000000004</v>
      </c>
      <c r="Z27">
        <f>MAX($E4:Z4)</f>
        <v>0.84523749999999997</v>
      </c>
      <c r="AA27">
        <f>MAX($E4:AA4)</f>
        <v>0.84523749999999997</v>
      </c>
      <c r="AB27">
        <f>MAX($E4:AB4)</f>
        <v>0.89655750000000001</v>
      </c>
      <c r="AC27">
        <f>MAX($E4:AC4)</f>
        <v>0.96900750000000102</v>
      </c>
      <c r="AD27">
        <f>MAX($E4:AD4)</f>
        <v>1.007825</v>
      </c>
      <c r="AE27">
        <f>MAX($E4:AE4)</f>
        <v>1.1773400000000001</v>
      </c>
      <c r="AF27">
        <f>MAX($E4:AF4)</f>
        <v>1.2606975</v>
      </c>
      <c r="AG27">
        <f>MAX($E4:AG4)</f>
        <v>1.2606975</v>
      </c>
      <c r="AH27">
        <f>MAX($E4:AH4)</f>
        <v>1.2606975</v>
      </c>
      <c r="AI27">
        <f>MAX($E4:AI4)</f>
        <v>1.2606975</v>
      </c>
      <c r="AJ27">
        <f>MAX($E4:AJ4)</f>
        <v>1.2606975</v>
      </c>
      <c r="AK27">
        <f>MAX($E4:AK4)</f>
        <v>1.3523000000000001</v>
      </c>
      <c r="AL27">
        <f>MAX($E4:AL4)</f>
        <v>1.3523000000000001</v>
      </c>
      <c r="AM27">
        <f>MAX($E4:AM4)</f>
        <v>1.3523000000000001</v>
      </c>
      <c r="AN27">
        <f>MAX($E4:AN4)</f>
        <v>1.3523000000000001</v>
      </c>
      <c r="AO27">
        <f>MAX($E4:AO4)</f>
        <v>1.4163275</v>
      </c>
      <c r="AP27">
        <f>MAX($E4:AP4)</f>
        <v>1.4265049999999999</v>
      </c>
      <c r="AQ27">
        <f>MAX($E4:AQ4)</f>
        <v>1.4283425000000001</v>
      </c>
      <c r="AR27">
        <f>MAX($E4:AR4)</f>
        <v>1.5152950000000001</v>
      </c>
      <c r="AS27">
        <f>MAX($E4:AS4)</f>
        <v>1.5807275000000001</v>
      </c>
      <c r="AT27">
        <f>MAX($E4:AT4)</f>
        <v>1.5807275000000001</v>
      </c>
      <c r="AU27">
        <f>MAX($E4:AU4)</f>
        <v>1.5807275000000001</v>
      </c>
      <c r="AV27">
        <f>MAX($E4:AV4)</f>
        <v>1.5807275000000001</v>
      </c>
      <c r="AW27">
        <f>MAX($E4:AW4)</f>
        <v>1.5807275000000001</v>
      </c>
      <c r="AX27">
        <f>MAX($E4:AX4)</f>
        <v>1.5807275000000001</v>
      </c>
      <c r="AY27">
        <f>MAX($E4:AY4)</f>
        <v>1.6383049999999999</v>
      </c>
      <c r="AZ27">
        <f>MAX($E4:AZ4)</f>
        <v>1.6391625000000001</v>
      </c>
      <c r="BA27">
        <f>MAX($E4:BA4)</f>
        <v>1.6558124999999999</v>
      </c>
      <c r="BB27">
        <f>MAX($E4:BB4)</f>
        <v>1.7147874999999999</v>
      </c>
      <c r="BC27">
        <f>MAX($E4:BC4)</f>
        <v>1.7294725</v>
      </c>
      <c r="BD27">
        <f>MAX($E4:BD4)</f>
        <v>1.7391049999999999</v>
      </c>
      <c r="BE27">
        <f>MAX($E4:BE4)</f>
        <v>1.7391049999999999</v>
      </c>
      <c r="BF27">
        <f>MAX($E4:BF4)</f>
        <v>1.7391049999999999</v>
      </c>
      <c r="BG27">
        <f>MAX($E4:BG4)</f>
        <v>1.7391049999999999</v>
      </c>
      <c r="BH27">
        <f>MAX($E4:BH4)</f>
        <v>1.7391049999999999</v>
      </c>
      <c r="BI27">
        <f>MAX($E4:BI4)</f>
        <v>1.7904249999999999</v>
      </c>
      <c r="BJ27">
        <f>MAX($E4:BJ4)</f>
        <v>1.7904249999999999</v>
      </c>
      <c r="BK27">
        <f>MAX($E4:BK4)</f>
        <v>1.7904249999999999</v>
      </c>
      <c r="BL27">
        <f>MAX($E4:BL4)</f>
        <v>1.7904249999999999</v>
      </c>
      <c r="BM27">
        <f>MAX($E4:BM4)</f>
        <v>1.7904249999999999</v>
      </c>
      <c r="BN27">
        <f>MAX($E4:BN4)</f>
        <v>1.7904249999999999</v>
      </c>
      <c r="BO27">
        <f>MAX($E4:BO4)</f>
        <v>1.7904249999999999</v>
      </c>
      <c r="BP27">
        <f>MAX($E4:BP4)</f>
        <v>1.7904249999999999</v>
      </c>
      <c r="BQ27">
        <f>MAX($E4:BQ4)</f>
        <v>1.7904249999999999</v>
      </c>
      <c r="BR27">
        <f>MAX($E4:BR4)</f>
        <v>1.7904249999999999</v>
      </c>
      <c r="BS27">
        <f>MAX($E4:BS4)</f>
        <v>1.7904249999999999</v>
      </c>
      <c r="BT27">
        <f>MAX($E4:BT4)</f>
        <v>1.7904249999999999</v>
      </c>
      <c r="BU27">
        <f>MAX($E4:BU4)</f>
        <v>1.7904249999999999</v>
      </c>
      <c r="BV27">
        <f>MAX($E4:BV4)</f>
        <v>1.81528</v>
      </c>
      <c r="BW27">
        <f>MAX($E4:BW4)</f>
        <v>1.8281000000000001</v>
      </c>
      <c r="BX27">
        <f>MAX($E4:BX4)</f>
        <v>1.901335</v>
      </c>
      <c r="BY27">
        <f>MAX($E4:BY4)</f>
        <v>1.901335</v>
      </c>
      <c r="BZ27">
        <f>MAX($E4:BZ4)</f>
        <v>1.9104449999999999</v>
      </c>
      <c r="CA27">
        <f>MAX($E4:CA4)</f>
        <v>1.9104449999999999</v>
      </c>
      <c r="CB27">
        <f>MAX($E4:CB4)</f>
        <v>1.9104449999999999</v>
      </c>
      <c r="CC27">
        <f>MAX($E4:CC4)</f>
        <v>1.9104449999999999</v>
      </c>
    </row>
    <row r="28" spans="1:81" x14ac:dyDescent="0.25">
      <c r="A28">
        <f t="shared" si="6"/>
        <v>2.83309382062949</v>
      </c>
      <c r="B28">
        <f t="shared" si="6"/>
        <v>3.2807226442889492</v>
      </c>
      <c r="C28">
        <f t="shared" si="6"/>
        <v>0.35297101448543217</v>
      </c>
      <c r="E28">
        <f>MAX($E5:E5)</f>
        <v>0</v>
      </c>
      <c r="F28">
        <f>MAX($E5:F5)</f>
        <v>1.8378249999999999E-2</v>
      </c>
      <c r="G28">
        <f>MAX($E5:G5)</f>
        <v>1.8378249999999999E-2</v>
      </c>
      <c r="H28">
        <f>MAX($E5:H5)</f>
        <v>1.8378249999999999E-2</v>
      </c>
      <c r="I28">
        <f>MAX($E5:I5)</f>
        <v>2.3725750000000101E-2</v>
      </c>
      <c r="J28">
        <f>MAX($E5:J5)</f>
        <v>2.3725750000000101E-2</v>
      </c>
      <c r="K28">
        <f>MAX($E5:K5)</f>
        <v>2.3725750000000101E-2</v>
      </c>
      <c r="L28">
        <f>MAX($E5:L5)</f>
        <v>8.9635500000000007E-2</v>
      </c>
      <c r="M28">
        <f>MAX($E5:M5)</f>
        <v>8.9635500000000007E-2</v>
      </c>
      <c r="N28">
        <f>MAX($E5:N5)</f>
        <v>8.9635500000000007E-2</v>
      </c>
      <c r="O28">
        <f>MAX($E5:O5)</f>
        <v>0.14369399999999999</v>
      </c>
      <c r="P28">
        <f>MAX($E5:P5)</f>
        <v>0.14369399999999999</v>
      </c>
      <c r="Q28">
        <f>MAX($E5:Q5)</f>
        <v>0.14369399999999999</v>
      </c>
      <c r="R28">
        <f>MAX($E5:R5)</f>
        <v>0.14369399999999999</v>
      </c>
      <c r="S28">
        <f>MAX($E5:S5)</f>
        <v>0.14369399999999999</v>
      </c>
      <c r="T28">
        <f>MAX($E5:T5)</f>
        <v>0.14369399999999999</v>
      </c>
      <c r="U28">
        <f>MAX($E5:U5)</f>
        <v>0.14369399999999999</v>
      </c>
      <c r="V28">
        <f>MAX($E5:V5)</f>
        <v>0.14800749999999999</v>
      </c>
      <c r="W28">
        <f>MAX($E5:W5)</f>
        <v>0.14875250000000001</v>
      </c>
      <c r="X28">
        <f>MAX($E5:X5)</f>
        <v>0.3899475</v>
      </c>
      <c r="Y28">
        <f>MAX($E5:Y5)</f>
        <v>0.58225000000000005</v>
      </c>
      <c r="Z28">
        <f>MAX($E5:Z5)</f>
        <v>0.64564500000000102</v>
      </c>
      <c r="AA28">
        <f>MAX($E5:AA5)</f>
        <v>0.64564500000000102</v>
      </c>
      <c r="AB28">
        <f>MAX($E5:AB5)</f>
        <v>0.71988249999999998</v>
      </c>
      <c r="AC28">
        <f>MAX($E5:AC5)</f>
        <v>0.78809249999999997</v>
      </c>
      <c r="AD28">
        <f>MAX($E5:AD5)</f>
        <v>0.8298025</v>
      </c>
      <c r="AE28">
        <f>MAX($E5:AE5)</f>
        <v>1.0037</v>
      </c>
      <c r="AF28">
        <f>MAX($E5:AF5)</f>
        <v>1.08629</v>
      </c>
      <c r="AG28">
        <f>MAX($E5:AG5)</f>
        <v>1.08629</v>
      </c>
      <c r="AH28">
        <f>MAX($E5:AH5)</f>
        <v>1.08629</v>
      </c>
      <c r="AI28">
        <f>MAX($E5:AI5)</f>
        <v>1.08629</v>
      </c>
      <c r="AJ28">
        <f>MAX($E5:AJ5)</f>
        <v>1.08629</v>
      </c>
      <c r="AK28">
        <f>MAX($E5:AK5)</f>
        <v>1.1811700000000001</v>
      </c>
      <c r="AL28">
        <f>MAX($E5:AL5)</f>
        <v>1.1811700000000001</v>
      </c>
      <c r="AM28">
        <f>MAX($E5:AM5)</f>
        <v>1.1811700000000001</v>
      </c>
      <c r="AN28">
        <f>MAX($E5:AN5)</f>
        <v>1.1811700000000001</v>
      </c>
      <c r="AO28">
        <f>MAX($E5:AO5)</f>
        <v>1.2370000000000001</v>
      </c>
      <c r="AP28">
        <f>MAX($E5:AP5)</f>
        <v>1.2432924999999999</v>
      </c>
      <c r="AQ28">
        <f>MAX($E5:AQ5)</f>
        <v>1.2444424999999999</v>
      </c>
      <c r="AR28">
        <f>MAX($E5:AR5)</f>
        <v>1.3293900000000001</v>
      </c>
      <c r="AS28">
        <f>MAX($E5:AS5)</f>
        <v>1.3898575</v>
      </c>
      <c r="AT28">
        <f>MAX($E5:AT5)</f>
        <v>1.3898575</v>
      </c>
      <c r="AU28">
        <f>MAX($E5:AU5)</f>
        <v>1.3898575</v>
      </c>
      <c r="AV28">
        <f>MAX($E5:AV5)</f>
        <v>1.3898575</v>
      </c>
      <c r="AW28">
        <f>MAX($E5:AW5)</f>
        <v>1.3898575</v>
      </c>
      <c r="AX28">
        <f>MAX($E5:AX5)</f>
        <v>1.3898575</v>
      </c>
      <c r="AY28">
        <f>MAX($E5:AY5)</f>
        <v>1.4379999999999999</v>
      </c>
      <c r="AZ28">
        <f>MAX($E5:AZ5)</f>
        <v>1.4407725</v>
      </c>
      <c r="BA28">
        <f>MAX($E5:BA5)</f>
        <v>1.45469</v>
      </c>
      <c r="BB28">
        <f>MAX($E5:BB5)</f>
        <v>1.5066875</v>
      </c>
      <c r="BC28">
        <f>MAX($E5:BC5)</f>
        <v>1.52101</v>
      </c>
      <c r="BD28">
        <f>MAX($E5:BD5)</f>
        <v>1.5354699999999999</v>
      </c>
      <c r="BE28">
        <f>MAX($E5:BE5)</f>
        <v>1.5354699999999999</v>
      </c>
      <c r="BF28">
        <f>MAX($E5:BF5)</f>
        <v>1.5354699999999999</v>
      </c>
      <c r="BG28">
        <f>MAX($E5:BG5)</f>
        <v>1.5354699999999999</v>
      </c>
      <c r="BH28">
        <f>MAX($E5:BH5)</f>
        <v>1.5354699999999999</v>
      </c>
      <c r="BI28">
        <f>MAX($E5:BI5)</f>
        <v>1.5855649999999999</v>
      </c>
      <c r="BJ28">
        <f>MAX($E5:BJ5)</f>
        <v>1.5855649999999999</v>
      </c>
      <c r="BK28">
        <f>MAX($E5:BK5)</f>
        <v>1.5855649999999999</v>
      </c>
      <c r="BL28">
        <f>MAX($E5:BL5)</f>
        <v>1.5855649999999999</v>
      </c>
      <c r="BM28">
        <f>MAX($E5:BM5)</f>
        <v>1.5855649999999999</v>
      </c>
      <c r="BN28">
        <f>MAX($E5:BN5)</f>
        <v>1.5855649999999999</v>
      </c>
      <c r="BO28">
        <f>MAX($E5:BO5)</f>
        <v>1.5855649999999999</v>
      </c>
      <c r="BP28">
        <f>MAX($E5:BP5)</f>
        <v>1.5855649999999999</v>
      </c>
      <c r="BQ28">
        <f>MAX($E5:BQ5)</f>
        <v>1.5855649999999999</v>
      </c>
      <c r="BR28">
        <f>MAX($E5:BR5)</f>
        <v>1.5855649999999999</v>
      </c>
      <c r="BS28">
        <f>MAX($E5:BS5)</f>
        <v>1.5855649999999999</v>
      </c>
      <c r="BT28">
        <f>MAX($E5:BT5)</f>
        <v>1.5855649999999999</v>
      </c>
      <c r="BU28">
        <f>MAX($E5:BU5)</f>
        <v>1.5855649999999999</v>
      </c>
      <c r="BV28">
        <f>MAX($E5:BV5)</f>
        <v>1.59117</v>
      </c>
      <c r="BW28">
        <f>MAX($E5:BW5)</f>
        <v>1.60273</v>
      </c>
      <c r="BX28">
        <f>MAX($E5:BX5)</f>
        <v>1.6769925000000001</v>
      </c>
      <c r="BY28">
        <f>MAX($E5:BY5)</f>
        <v>1.6769925000000001</v>
      </c>
      <c r="BZ28">
        <f>MAX($E5:BZ5)</f>
        <v>1.6857724999999999</v>
      </c>
      <c r="CA28">
        <f>MAX($E5:CA5)</f>
        <v>1.6857724999999999</v>
      </c>
      <c r="CB28">
        <f>MAX($E5:CB5)</f>
        <v>1.6857724999999999</v>
      </c>
      <c r="CC28">
        <f>MAX($E5:CC5)</f>
        <v>1.6857724999999999</v>
      </c>
    </row>
    <row r="29" spans="1:81" x14ac:dyDescent="0.25">
      <c r="A29">
        <f t="shared" si="6"/>
        <v>2.7467380347918402</v>
      </c>
      <c r="B29">
        <f t="shared" si="6"/>
        <v>3.1807226442889509</v>
      </c>
      <c r="C29">
        <f t="shared" si="6"/>
        <v>0.36406821012175061</v>
      </c>
      <c r="E29">
        <f>MAX($E6:E6)</f>
        <v>0</v>
      </c>
      <c r="F29">
        <f>MAX($E6:F6)</f>
        <v>1.18995E-2</v>
      </c>
      <c r="G29">
        <f>MAX($E6:G6)</f>
        <v>1.18995E-2</v>
      </c>
      <c r="H29">
        <f>MAX($E6:H6)</f>
        <v>1.18995E-2</v>
      </c>
      <c r="I29">
        <f>MAX($E6:I6)</f>
        <v>2.1440250000000199E-2</v>
      </c>
      <c r="J29">
        <f>MAX($E6:J6)</f>
        <v>2.1440250000000199E-2</v>
      </c>
      <c r="K29">
        <f>MAX($E6:K6)</f>
        <v>2.1440250000000199E-2</v>
      </c>
      <c r="L29">
        <f>MAX($E6:L6)</f>
        <v>8.5563500000000001E-2</v>
      </c>
      <c r="M29">
        <f>MAX($E6:M6)</f>
        <v>8.5563500000000001E-2</v>
      </c>
      <c r="N29">
        <f>MAX($E6:N6)</f>
        <v>8.5563500000000001E-2</v>
      </c>
      <c r="O29">
        <f>MAX($E6:O6)</f>
        <v>0.14091224999999999</v>
      </c>
      <c r="P29">
        <f>MAX($E6:P6)</f>
        <v>0.14091224999999999</v>
      </c>
      <c r="Q29">
        <f>MAX($E6:Q6)</f>
        <v>0.14091224999999999</v>
      </c>
      <c r="R29">
        <f>MAX($E6:R6)</f>
        <v>0.14091224999999999</v>
      </c>
      <c r="S29">
        <f>MAX($E6:S6)</f>
        <v>0.14091224999999999</v>
      </c>
      <c r="T29">
        <f>MAX($E6:T6)</f>
        <v>0.14091224999999999</v>
      </c>
      <c r="U29">
        <f>MAX($E6:U6)</f>
        <v>0.14091224999999999</v>
      </c>
      <c r="V29">
        <f>MAX($E6:V6)</f>
        <v>0.14091224999999999</v>
      </c>
      <c r="W29">
        <f>MAX($E6:W6)</f>
        <v>0.14091224999999999</v>
      </c>
      <c r="X29">
        <f>MAX($E6:X6)</f>
        <v>0.28267999999999999</v>
      </c>
      <c r="Y29">
        <f>MAX($E6:Y6)</f>
        <v>0.46960499999999999</v>
      </c>
      <c r="Z29">
        <f>MAX($E6:Z6)</f>
        <v>0.53174750000000004</v>
      </c>
      <c r="AA29">
        <f>MAX($E6:AA6)</f>
        <v>0.53174750000000004</v>
      </c>
      <c r="AB29">
        <f>MAX($E6:AB6)</f>
        <v>0.60662749999999999</v>
      </c>
      <c r="AC29">
        <f>MAX($E6:AC6)</f>
        <v>0.67510749999999997</v>
      </c>
      <c r="AD29">
        <f>MAX($E6:AD6)</f>
        <v>0.71743250000000003</v>
      </c>
      <c r="AE29">
        <f>MAX($E6:AE6)</f>
        <v>0.87010500000000002</v>
      </c>
      <c r="AF29">
        <f>MAX($E6:AF6)</f>
        <v>0.95396499999999995</v>
      </c>
      <c r="AG29">
        <f>MAX($E6:AG6)</f>
        <v>0.95396499999999995</v>
      </c>
      <c r="AH29">
        <f>MAX($E6:AH6)</f>
        <v>0.95396499999999995</v>
      </c>
      <c r="AI29">
        <f>MAX($E6:AI6)</f>
        <v>0.95396499999999995</v>
      </c>
      <c r="AJ29">
        <f>MAX($E6:AJ6)</f>
        <v>0.95396499999999995</v>
      </c>
      <c r="AK29">
        <f>MAX($E6:AK6)</f>
        <v>1.0674675</v>
      </c>
      <c r="AL29">
        <f>MAX($E6:AL6)</f>
        <v>1.0674675</v>
      </c>
      <c r="AM29">
        <f>MAX($E6:AM6)</f>
        <v>1.0674675</v>
      </c>
      <c r="AN29">
        <f>MAX($E6:AN6)</f>
        <v>1.0674675</v>
      </c>
      <c r="AO29">
        <f>MAX($E6:AO6)</f>
        <v>1.121575</v>
      </c>
      <c r="AP29">
        <f>MAX($E6:AP6)</f>
        <v>1.1249024999999999</v>
      </c>
      <c r="AQ29">
        <f>MAX($E6:AQ6)</f>
        <v>1.12795</v>
      </c>
      <c r="AR29">
        <f>MAX($E6:AR6)</f>
        <v>1.209975</v>
      </c>
      <c r="AS29">
        <f>MAX($E6:AS6)</f>
        <v>1.272295</v>
      </c>
      <c r="AT29">
        <f>MAX($E6:AT6)</f>
        <v>1.272295</v>
      </c>
      <c r="AU29">
        <f>MAX($E6:AU6)</f>
        <v>1.272295</v>
      </c>
      <c r="AV29">
        <f>MAX($E6:AV6)</f>
        <v>1.272295</v>
      </c>
      <c r="AW29">
        <f>MAX($E6:AW6)</f>
        <v>1.272295</v>
      </c>
      <c r="AX29">
        <f>MAX($E6:AX6)</f>
        <v>1.272295</v>
      </c>
      <c r="AY29">
        <f>MAX($E6:AY6)</f>
        <v>1.3344225000000001</v>
      </c>
      <c r="AZ29">
        <f>MAX($E6:AZ6)</f>
        <v>1.337925</v>
      </c>
      <c r="BA29">
        <f>MAX($E6:BA6)</f>
        <v>1.3530475</v>
      </c>
      <c r="BB29">
        <f>MAX($E6:BB6)</f>
        <v>1.3995774999999999</v>
      </c>
      <c r="BC29">
        <f>MAX($E6:BC6)</f>
        <v>1.4165775</v>
      </c>
      <c r="BD29">
        <f>MAX($E6:BD6)</f>
        <v>1.4361124999999999</v>
      </c>
      <c r="BE29">
        <f>MAX($E6:BE6)</f>
        <v>1.4361124999999999</v>
      </c>
      <c r="BF29">
        <f>MAX($E6:BF6)</f>
        <v>1.4361124999999999</v>
      </c>
      <c r="BG29">
        <f>MAX($E6:BG6)</f>
        <v>1.4361124999999999</v>
      </c>
      <c r="BH29">
        <f>MAX($E6:BH6)</f>
        <v>1.4361124999999999</v>
      </c>
      <c r="BI29">
        <f>MAX($E6:BI6)</f>
        <v>1.48987</v>
      </c>
      <c r="BJ29">
        <f>MAX($E6:BJ6)</f>
        <v>1.48987</v>
      </c>
      <c r="BK29">
        <f>MAX($E6:BK6)</f>
        <v>1.48987</v>
      </c>
      <c r="BL29">
        <f>MAX($E6:BL6)</f>
        <v>1.48987</v>
      </c>
      <c r="BM29">
        <f>MAX($E6:BM6)</f>
        <v>1.48987</v>
      </c>
      <c r="BN29">
        <f>MAX($E6:BN6)</f>
        <v>1.48987</v>
      </c>
      <c r="BO29">
        <f>MAX($E6:BO6)</f>
        <v>1.48987</v>
      </c>
      <c r="BP29">
        <f>MAX($E6:BP6)</f>
        <v>1.48987</v>
      </c>
      <c r="BQ29">
        <f>MAX($E6:BQ6)</f>
        <v>1.48987</v>
      </c>
      <c r="BR29">
        <f>MAX($E6:BR6)</f>
        <v>1.48987</v>
      </c>
      <c r="BS29">
        <f>MAX($E6:BS6)</f>
        <v>1.48987</v>
      </c>
      <c r="BT29">
        <f>MAX($E6:BT6)</f>
        <v>1.48987</v>
      </c>
      <c r="BU29">
        <f>MAX($E6:BU6)</f>
        <v>1.48987</v>
      </c>
      <c r="BV29">
        <f>MAX($E6:BV6)</f>
        <v>1.5122975000000001</v>
      </c>
      <c r="BW29">
        <f>MAX($E6:BW6)</f>
        <v>1.52346</v>
      </c>
      <c r="BX29">
        <f>MAX($E6:BX6)</f>
        <v>1.5997825000000001</v>
      </c>
      <c r="BY29">
        <f>MAX($E6:BY6)</f>
        <v>1.5997825000000001</v>
      </c>
      <c r="BZ29">
        <f>MAX($E6:BZ6)</f>
        <v>1.6053999999999999</v>
      </c>
      <c r="CA29">
        <f>MAX($E6:CA6)</f>
        <v>1.6053999999999999</v>
      </c>
      <c r="CB29">
        <f>MAX($E6:CB6)</f>
        <v>1.6053999999999999</v>
      </c>
      <c r="CC29">
        <f>MAX($E6:CC6)</f>
        <v>1.6053999999999999</v>
      </c>
    </row>
    <row r="30" spans="1:81" x14ac:dyDescent="0.25">
      <c r="A30">
        <f t="shared" si="6"/>
        <v>2.66038224895419</v>
      </c>
      <c r="B30">
        <f t="shared" si="6"/>
        <v>3.0807226442889517</v>
      </c>
      <c r="C30">
        <f t="shared" si="6"/>
        <v>0.3758858338470365</v>
      </c>
      <c r="E30">
        <f>MAX($E7:E7)</f>
        <v>0</v>
      </c>
      <c r="F30">
        <f>MAX($E7:F7)</f>
        <v>1.3046000000000099E-2</v>
      </c>
      <c r="G30">
        <f>MAX($E7:G7)</f>
        <v>1.3046000000000099E-2</v>
      </c>
      <c r="H30">
        <f>MAX($E7:H7)</f>
        <v>1.3046000000000099E-2</v>
      </c>
      <c r="I30">
        <f>MAX($E7:I7)</f>
        <v>1.8721999999999999E-2</v>
      </c>
      <c r="J30">
        <f>MAX($E7:J7)</f>
        <v>1.8721999999999999E-2</v>
      </c>
      <c r="K30">
        <f>MAX($E7:K7)</f>
        <v>1.8721999999999999E-2</v>
      </c>
      <c r="L30">
        <f>MAX($E7:L7)</f>
        <v>8.4262750000000095E-2</v>
      </c>
      <c r="M30">
        <f>MAX($E7:M7)</f>
        <v>8.4262750000000095E-2</v>
      </c>
      <c r="N30">
        <f>MAX($E7:N7)</f>
        <v>8.4262750000000095E-2</v>
      </c>
      <c r="O30">
        <f>MAX($E7:O7)</f>
        <v>0.13800750000000001</v>
      </c>
      <c r="P30">
        <f>MAX($E7:P7)</f>
        <v>0.13800750000000001</v>
      </c>
      <c r="Q30">
        <f>MAX($E7:Q7)</f>
        <v>0.13800750000000001</v>
      </c>
      <c r="R30">
        <f>MAX($E7:R7)</f>
        <v>0.13800750000000001</v>
      </c>
      <c r="S30">
        <f>MAX($E7:S7)</f>
        <v>0.13800750000000001</v>
      </c>
      <c r="T30">
        <f>MAX($E7:T7)</f>
        <v>0.13800750000000001</v>
      </c>
      <c r="U30">
        <f>MAX($E7:U7)</f>
        <v>0.13800750000000001</v>
      </c>
      <c r="V30">
        <f>MAX($E7:V7)</f>
        <v>0.13800750000000001</v>
      </c>
      <c r="W30">
        <f>MAX($E7:W7)</f>
        <v>0.13800750000000001</v>
      </c>
      <c r="X30">
        <f>MAX($E7:X7)</f>
        <v>0.1640075</v>
      </c>
      <c r="Y30">
        <f>MAX($E7:Y7)</f>
        <v>0.30159000000000002</v>
      </c>
      <c r="Z30">
        <f>MAX($E7:Z7)</f>
        <v>0.36254999999999998</v>
      </c>
      <c r="AA30">
        <f>MAX($E7:AA7)</f>
        <v>0.36254999999999998</v>
      </c>
      <c r="AB30">
        <f>MAX($E7:AB7)</f>
        <v>0.42469499999999999</v>
      </c>
      <c r="AC30">
        <f>MAX($E7:AC7)</f>
        <v>0.49269750000000001</v>
      </c>
      <c r="AD30">
        <f>MAX($E7:AD7)</f>
        <v>0.53661250000000005</v>
      </c>
      <c r="AE30">
        <f>MAX($E7:AE7)</f>
        <v>0.64856499999999995</v>
      </c>
      <c r="AF30">
        <f>MAX($E7:AF7)</f>
        <v>0.73660499999999995</v>
      </c>
      <c r="AG30">
        <f>MAX($E7:AG7)</f>
        <v>0.73660499999999995</v>
      </c>
      <c r="AH30">
        <f>MAX($E7:AH7)</f>
        <v>0.91044499999999995</v>
      </c>
      <c r="AI30">
        <f>MAX($E7:AI7)</f>
        <v>0.91044499999999995</v>
      </c>
      <c r="AJ30">
        <f>MAX($E7:AJ7)</f>
        <v>0.912165</v>
      </c>
      <c r="AK30">
        <f>MAX($E7:AK7)</f>
        <v>1.1613475</v>
      </c>
      <c r="AL30">
        <f>MAX($E7:AL7)</f>
        <v>1.1613475</v>
      </c>
      <c r="AM30">
        <f>MAX($E7:AM7)</f>
        <v>1.1613475</v>
      </c>
      <c r="AN30">
        <f>MAX($E7:AN7)</f>
        <v>1.1797774999999999</v>
      </c>
      <c r="AO30">
        <f>MAX($E7:AO7)</f>
        <v>1.2476</v>
      </c>
      <c r="AP30">
        <f>MAX($E7:AP7)</f>
        <v>1.2760400000000001</v>
      </c>
      <c r="AQ30">
        <f>MAX($E7:AQ7)</f>
        <v>1.2760400000000001</v>
      </c>
      <c r="AR30">
        <f>MAX($E7:AR7)</f>
        <v>1.3561725</v>
      </c>
      <c r="AS30">
        <f>MAX($E7:AS7)</f>
        <v>1.4204874999999999</v>
      </c>
      <c r="AT30">
        <f>MAX($E7:AT7)</f>
        <v>1.4204874999999999</v>
      </c>
      <c r="AU30">
        <f>MAX($E7:AU7)</f>
        <v>1.4204874999999999</v>
      </c>
      <c r="AV30">
        <f>MAX($E7:AV7)</f>
        <v>1.4204874999999999</v>
      </c>
      <c r="AW30">
        <f>MAX($E7:AW7)</f>
        <v>1.4204874999999999</v>
      </c>
      <c r="AX30">
        <f>MAX($E7:AX7)</f>
        <v>1.4204874999999999</v>
      </c>
      <c r="AY30">
        <f>MAX($E7:AY7)</f>
        <v>1.4313175</v>
      </c>
      <c r="AZ30">
        <f>MAX($E7:AZ7)</f>
        <v>1.441365</v>
      </c>
      <c r="BA30">
        <f>MAX($E7:BA7)</f>
        <v>1.458755</v>
      </c>
      <c r="BB30">
        <f>MAX($E7:BB7)</f>
        <v>1.5004649999999999</v>
      </c>
      <c r="BC30">
        <f>MAX($E7:BC7)</f>
        <v>1.5116499999999999</v>
      </c>
      <c r="BD30">
        <f>MAX($E7:BD7)</f>
        <v>1.5387625</v>
      </c>
      <c r="BE30">
        <f>MAX($E7:BE7)</f>
        <v>1.5387625</v>
      </c>
      <c r="BF30">
        <f>MAX($E7:BF7)</f>
        <v>1.5387625</v>
      </c>
      <c r="BG30">
        <f>MAX($E7:BG7)</f>
        <v>1.5387625</v>
      </c>
      <c r="BH30">
        <f>MAX($E7:BH7)</f>
        <v>1.5387625</v>
      </c>
      <c r="BI30">
        <f>MAX($E7:BI7)</f>
        <v>1.5958425000000001</v>
      </c>
      <c r="BJ30">
        <f>MAX($E7:BJ7)</f>
        <v>1.5958425000000001</v>
      </c>
      <c r="BK30">
        <f>MAX($E7:BK7)</f>
        <v>1.5958425000000001</v>
      </c>
      <c r="BL30">
        <f>MAX($E7:BL7)</f>
        <v>1.5958425000000001</v>
      </c>
      <c r="BM30">
        <f>MAX($E7:BM7)</f>
        <v>1.5958425000000001</v>
      </c>
      <c r="BN30">
        <f>MAX($E7:BN7)</f>
        <v>1.5958425000000001</v>
      </c>
      <c r="BO30">
        <f>MAX($E7:BO7)</f>
        <v>1.5958425000000001</v>
      </c>
      <c r="BP30">
        <f>MAX($E7:BP7)</f>
        <v>1.5958425000000001</v>
      </c>
      <c r="BQ30">
        <f>MAX($E7:BQ7)</f>
        <v>1.5958425000000001</v>
      </c>
      <c r="BR30">
        <f>MAX($E7:BR7)</f>
        <v>1.5974575</v>
      </c>
      <c r="BS30">
        <f>MAX($E7:BS7)</f>
        <v>1.5974575</v>
      </c>
      <c r="BT30">
        <f>MAX($E7:BT7)</f>
        <v>1.5974575</v>
      </c>
      <c r="BU30">
        <f>MAX($E7:BU7)</f>
        <v>1.5974575</v>
      </c>
      <c r="BV30">
        <f>MAX($E7:BV7)</f>
        <v>1.6194999999999999</v>
      </c>
      <c r="BW30">
        <f>MAX($E7:BW7)</f>
        <v>1.6264725</v>
      </c>
      <c r="BX30">
        <f>MAX($E7:BX7)</f>
        <v>1.7076525</v>
      </c>
      <c r="BY30">
        <f>MAX($E7:BY7)</f>
        <v>1.7076525</v>
      </c>
      <c r="BZ30">
        <f>MAX($E7:BZ7)</f>
        <v>1.7128350000000001</v>
      </c>
      <c r="CA30">
        <f>MAX($E7:CA7)</f>
        <v>1.7128350000000001</v>
      </c>
      <c r="CB30">
        <f>MAX($E7:CB7)</f>
        <v>1.7128350000000001</v>
      </c>
      <c r="CC30">
        <f>MAX($E7:CC7)</f>
        <v>1.7128350000000001</v>
      </c>
    </row>
    <row r="31" spans="1:81" x14ac:dyDescent="0.25">
      <c r="A31">
        <f t="shared" si="6"/>
        <v>2.5740264631165402</v>
      </c>
      <c r="B31">
        <f t="shared" si="6"/>
        <v>2.9807226442889534</v>
      </c>
      <c r="C31">
        <f t="shared" si="6"/>
        <v>0.38849639439574191</v>
      </c>
      <c r="E31">
        <f>MAX($E8:E8)</f>
        <v>0</v>
      </c>
      <c r="F31">
        <f>MAX($E8:F8)</f>
        <v>1.08422500000001E-2</v>
      </c>
      <c r="G31">
        <f>MAX($E8:G8)</f>
        <v>1.08422500000001E-2</v>
      </c>
      <c r="H31">
        <f>MAX($E8:H8)</f>
        <v>1.08422500000001E-2</v>
      </c>
      <c r="I31">
        <f>MAX($E8:I8)</f>
        <v>1.3868E-2</v>
      </c>
      <c r="J31">
        <f>MAX($E8:J8)</f>
        <v>1.3868E-2</v>
      </c>
      <c r="K31">
        <f>MAX($E8:K8)</f>
        <v>1.3868E-2</v>
      </c>
      <c r="L31">
        <f>MAX($E8:L8)</f>
        <v>8.1327250000000004E-2</v>
      </c>
      <c r="M31">
        <f>MAX($E8:M8)</f>
        <v>8.1327250000000004E-2</v>
      </c>
      <c r="N31">
        <f>MAX($E8:N8)</f>
        <v>8.1327250000000004E-2</v>
      </c>
      <c r="O31">
        <f>MAX($E8:O8)</f>
        <v>0.13640725000000001</v>
      </c>
      <c r="P31">
        <f>MAX($E8:P8)</f>
        <v>0.13640725000000001</v>
      </c>
      <c r="Q31">
        <f>MAX($E8:Q8)</f>
        <v>0.13640725000000001</v>
      </c>
      <c r="R31">
        <f>MAX($E8:R8)</f>
        <v>0.13640725000000001</v>
      </c>
      <c r="S31">
        <f>MAX($E8:S8)</f>
        <v>0.13640725000000001</v>
      </c>
      <c r="T31">
        <f>MAX($E8:T8)</f>
        <v>0.13640725000000001</v>
      </c>
      <c r="U31">
        <f>MAX($E8:U8)</f>
        <v>0.13640725000000001</v>
      </c>
      <c r="V31">
        <f>MAX($E8:V8)</f>
        <v>0.13640725000000001</v>
      </c>
      <c r="W31">
        <f>MAX($E8:W8)</f>
        <v>0.13640725000000001</v>
      </c>
      <c r="X31">
        <f>MAX($E8:X8)</f>
        <v>0.13640725000000001</v>
      </c>
      <c r="Y31">
        <f>MAX($E8:Y8)</f>
        <v>0.20979500000000001</v>
      </c>
      <c r="Z31">
        <f>MAX($E8:Z8)</f>
        <v>0.26923000000000002</v>
      </c>
      <c r="AA31">
        <f>MAX($E8:AA8)</f>
        <v>0.26923000000000002</v>
      </c>
      <c r="AB31">
        <f>MAX($E8:AB8)</f>
        <v>0.313135</v>
      </c>
      <c r="AC31">
        <f>MAX($E8:AC8)</f>
        <v>0.38244500000000098</v>
      </c>
      <c r="AD31">
        <f>MAX($E8:AD8)</f>
        <v>0.42155500000000001</v>
      </c>
      <c r="AE31">
        <f>MAX($E8:AE8)</f>
        <v>0.51141250000000005</v>
      </c>
      <c r="AF31">
        <f>MAX($E8:AF8)</f>
        <v>0.6006475</v>
      </c>
      <c r="AG31">
        <f>MAX($E8:AG8)</f>
        <v>0.6006475</v>
      </c>
      <c r="AH31">
        <f>MAX($E8:AH8)</f>
        <v>0.8432925</v>
      </c>
      <c r="AI31">
        <f>MAX($E8:AI8)</f>
        <v>0.84485750000000004</v>
      </c>
      <c r="AJ31">
        <f>MAX($E8:AJ8)</f>
        <v>0.84519250000000001</v>
      </c>
      <c r="AK31">
        <f>MAX($E8:AK8)</f>
        <v>1.1230424999999999</v>
      </c>
      <c r="AL31">
        <f>MAX($E8:AL8)</f>
        <v>1.1230424999999999</v>
      </c>
      <c r="AM31">
        <f>MAX($E8:AM8)</f>
        <v>1.1230424999999999</v>
      </c>
      <c r="AN31">
        <f>MAX($E8:AN8)</f>
        <v>1.141785</v>
      </c>
      <c r="AO31">
        <f>MAX($E8:AO8)</f>
        <v>1.20662</v>
      </c>
      <c r="AP31">
        <f>MAX($E8:AP8)</f>
        <v>1.22113</v>
      </c>
      <c r="AQ31">
        <f>MAX($E8:AQ8)</f>
        <v>1.2213099999999999</v>
      </c>
      <c r="AR31">
        <f>MAX($E8:AR8)</f>
        <v>1.2993825000000001</v>
      </c>
      <c r="AS31">
        <f>MAX($E8:AS8)</f>
        <v>1.3632850000000001</v>
      </c>
      <c r="AT31">
        <f>MAX($E8:AT8)</f>
        <v>1.3632850000000001</v>
      </c>
      <c r="AU31">
        <f>MAX($E8:AU8)</f>
        <v>1.3632850000000001</v>
      </c>
      <c r="AV31">
        <f>MAX($E8:AV8)</f>
        <v>1.3632850000000001</v>
      </c>
      <c r="AW31">
        <f>MAX($E8:AW8)</f>
        <v>1.3632850000000001</v>
      </c>
      <c r="AX31">
        <f>MAX($E8:AX8)</f>
        <v>1.3632850000000001</v>
      </c>
      <c r="AY31">
        <f>MAX($E8:AY8)</f>
        <v>1.3632850000000001</v>
      </c>
      <c r="AZ31">
        <f>MAX($E8:AZ8)</f>
        <v>1.3675124999999999</v>
      </c>
      <c r="BA31">
        <f>MAX($E8:BA8)</f>
        <v>1.3823224999999999</v>
      </c>
      <c r="BB31">
        <f>MAX($E8:BB8)</f>
        <v>1.4176724999999999</v>
      </c>
      <c r="BC31">
        <f>MAX($E8:BC8)</f>
        <v>1.432995</v>
      </c>
      <c r="BD31">
        <f>MAX($E8:BD8)</f>
        <v>1.46146</v>
      </c>
      <c r="BE31">
        <f>MAX($E8:BE8)</f>
        <v>1.46146</v>
      </c>
      <c r="BF31">
        <f>MAX($E8:BF8)</f>
        <v>1.46146</v>
      </c>
      <c r="BG31">
        <f>MAX($E8:BG8)</f>
        <v>1.46146</v>
      </c>
      <c r="BH31">
        <f>MAX($E8:BH8)</f>
        <v>1.46146</v>
      </c>
      <c r="BI31">
        <f>MAX($E8:BI8)</f>
        <v>1.5212325</v>
      </c>
      <c r="BJ31">
        <f>MAX($E8:BJ8)</f>
        <v>1.5212325</v>
      </c>
      <c r="BK31">
        <f>MAX($E8:BK8)</f>
        <v>1.5212325</v>
      </c>
      <c r="BL31">
        <f>MAX($E8:BL8)</f>
        <v>1.5212325</v>
      </c>
      <c r="BM31">
        <f>MAX($E8:BM8)</f>
        <v>1.5212325</v>
      </c>
      <c r="BN31">
        <f>MAX($E8:BN8)</f>
        <v>1.5212325</v>
      </c>
      <c r="BO31">
        <f>MAX($E8:BO8)</f>
        <v>1.5212325</v>
      </c>
      <c r="BP31">
        <f>MAX($E8:BP8)</f>
        <v>1.5212325</v>
      </c>
      <c r="BQ31">
        <f>MAX($E8:BQ8)</f>
        <v>1.5212325</v>
      </c>
      <c r="BR31">
        <f>MAX($E8:BR8)</f>
        <v>1.5212325</v>
      </c>
      <c r="BS31">
        <f>MAX($E8:BS8)</f>
        <v>1.5212325</v>
      </c>
      <c r="BT31">
        <f>MAX($E8:BT8)</f>
        <v>1.5212325</v>
      </c>
      <c r="BU31">
        <f>MAX($E8:BU8)</f>
        <v>1.5212325</v>
      </c>
      <c r="BV31">
        <f>MAX($E8:BV8)</f>
        <v>1.5365875</v>
      </c>
      <c r="BW31">
        <f>MAX($E8:BW8)</f>
        <v>1.5412075000000001</v>
      </c>
      <c r="BX31">
        <f>MAX($E8:BX8)</f>
        <v>1.62005</v>
      </c>
      <c r="BY31">
        <f>MAX($E8:BY8)</f>
        <v>1.62005</v>
      </c>
      <c r="BZ31">
        <f>MAX($E8:BZ8)</f>
        <v>1.6264375</v>
      </c>
      <c r="CA31">
        <f>MAX($E8:CA8)</f>
        <v>1.6264375</v>
      </c>
      <c r="CB31">
        <f>MAX($E8:CB8)</f>
        <v>1.6264375</v>
      </c>
      <c r="CC31">
        <f>MAX($E8:CC8)</f>
        <v>1.6264375</v>
      </c>
    </row>
    <row r="32" spans="1:81" x14ac:dyDescent="0.25">
      <c r="A32">
        <f t="shared" si="6"/>
        <v>2.4876706772788899</v>
      </c>
      <c r="B32">
        <f t="shared" si="6"/>
        <v>2.8807226442889542</v>
      </c>
      <c r="C32">
        <f t="shared" si="6"/>
        <v>0.40198246863360487</v>
      </c>
      <c r="E32">
        <f>MAX($E9:E9)</f>
        <v>0</v>
      </c>
      <c r="F32">
        <f>MAX($E9:F9)</f>
        <v>3.5082499999999901E-3</v>
      </c>
      <c r="G32">
        <f>MAX($E9:G9)</f>
        <v>3.5082499999999901E-3</v>
      </c>
      <c r="H32">
        <f>MAX($E9:H9)</f>
        <v>3.5082499999999901E-3</v>
      </c>
      <c r="I32">
        <f>MAX($E9:I9)</f>
        <v>1.2851750000000099E-2</v>
      </c>
      <c r="J32">
        <f>MAX($E9:J9)</f>
        <v>1.2851750000000099E-2</v>
      </c>
      <c r="K32">
        <f>MAX($E9:K9)</f>
        <v>1.4407250000000101E-2</v>
      </c>
      <c r="L32">
        <f>MAX($E9:L9)</f>
        <v>8.0082250000000105E-2</v>
      </c>
      <c r="M32">
        <f>MAX($E9:M9)</f>
        <v>8.0082250000000105E-2</v>
      </c>
      <c r="N32">
        <f>MAX($E9:N9)</f>
        <v>8.0082250000000105E-2</v>
      </c>
      <c r="O32">
        <f>MAX($E9:O9)</f>
        <v>0.13129774999999999</v>
      </c>
      <c r="P32">
        <f>MAX($E9:P9)</f>
        <v>0.13129774999999999</v>
      </c>
      <c r="Q32">
        <f>MAX($E9:Q9)</f>
        <v>0.13129774999999999</v>
      </c>
      <c r="R32">
        <f>MAX($E9:R9)</f>
        <v>0.13129774999999999</v>
      </c>
      <c r="S32">
        <f>MAX($E9:S9)</f>
        <v>0.13129774999999999</v>
      </c>
      <c r="T32">
        <f>MAX($E9:T9)</f>
        <v>0.13129774999999999</v>
      </c>
      <c r="U32">
        <f>MAX($E9:U9)</f>
        <v>0.13129774999999999</v>
      </c>
      <c r="V32">
        <f>MAX($E9:V9)</f>
        <v>0.13129774999999999</v>
      </c>
      <c r="W32">
        <f>MAX($E9:W9)</f>
        <v>0.13129774999999999</v>
      </c>
      <c r="X32">
        <f>MAX($E9:X9)</f>
        <v>0.13129774999999999</v>
      </c>
      <c r="Y32">
        <f>MAX($E9:Y9)</f>
        <v>0.13129774999999999</v>
      </c>
      <c r="Z32">
        <f>MAX($E9:Z9)</f>
        <v>0.1518825</v>
      </c>
      <c r="AA32">
        <f>MAX($E9:AA9)</f>
        <v>0.1518825</v>
      </c>
      <c r="AB32">
        <f>MAX($E9:AB9)</f>
        <v>0.1518825</v>
      </c>
      <c r="AC32">
        <f>MAX($E9:AC9)</f>
        <v>0.22383749999999999</v>
      </c>
      <c r="AD32">
        <f>MAX($E9:AD9)</f>
        <v>0.26488</v>
      </c>
      <c r="AE32">
        <f>MAX($E9:AE9)</f>
        <v>0.32280750000000002</v>
      </c>
      <c r="AF32">
        <f>MAX($E9:AF9)</f>
        <v>0.41289750000000103</v>
      </c>
      <c r="AG32">
        <f>MAX($E9:AG9)</f>
        <v>0.41289750000000103</v>
      </c>
      <c r="AH32">
        <f>MAX($E9:AH9)</f>
        <v>0.76170749999999998</v>
      </c>
      <c r="AI32">
        <f>MAX($E9:AI9)</f>
        <v>0.76170749999999998</v>
      </c>
      <c r="AJ32">
        <f>MAX($E9:AJ9)</f>
        <v>0.76170749999999998</v>
      </c>
      <c r="AK32">
        <f>MAX($E9:AK9)</f>
        <v>1.1116925</v>
      </c>
      <c r="AL32">
        <f>MAX($E9:AL9)</f>
        <v>1.1116925</v>
      </c>
      <c r="AM32">
        <f>MAX($E9:AM9)</f>
        <v>1.1116925</v>
      </c>
      <c r="AN32">
        <f>MAX($E9:AN9)</f>
        <v>1.1344375</v>
      </c>
      <c r="AO32">
        <f>MAX($E9:AO9)</f>
        <v>1.2016625000000001</v>
      </c>
      <c r="AP32">
        <f>MAX($E9:AP9)</f>
        <v>1.2175324999999999</v>
      </c>
      <c r="AQ32">
        <f>MAX($E9:AQ9)</f>
        <v>1.2184999999999999</v>
      </c>
      <c r="AR32">
        <f>MAX($E9:AR9)</f>
        <v>1.29843</v>
      </c>
      <c r="AS32">
        <f>MAX($E9:AS9)</f>
        <v>1.3690825</v>
      </c>
      <c r="AT32">
        <f>MAX($E9:AT9)</f>
        <v>1.3690825</v>
      </c>
      <c r="AU32">
        <f>MAX($E9:AU9)</f>
        <v>1.3690825</v>
      </c>
      <c r="AV32">
        <f>MAX($E9:AV9)</f>
        <v>1.3690825</v>
      </c>
      <c r="AW32">
        <f>MAX($E9:AW9)</f>
        <v>1.3690825</v>
      </c>
      <c r="AX32">
        <f>MAX($E9:AX9)</f>
        <v>1.3690825</v>
      </c>
      <c r="AY32">
        <f>MAX($E9:AY9)</f>
        <v>1.3690825</v>
      </c>
      <c r="AZ32">
        <f>MAX($E9:AZ9)</f>
        <v>1.3690825</v>
      </c>
      <c r="BA32">
        <f>MAX($E9:BA9)</f>
        <v>1.3690825</v>
      </c>
      <c r="BB32">
        <f>MAX($E9:BB9)</f>
        <v>1.38108416666667</v>
      </c>
      <c r="BC32">
        <f>MAX($E9:BC9)</f>
        <v>1.3961491666666701</v>
      </c>
      <c r="BD32">
        <f>MAX($E9:BD9)</f>
        <v>1.4260841666666699</v>
      </c>
      <c r="BE32">
        <f>MAX($E9:BE9)</f>
        <v>1.4260841666666699</v>
      </c>
      <c r="BF32">
        <f>MAX($E9:BF9)</f>
        <v>1.4260841666666699</v>
      </c>
      <c r="BG32">
        <f>MAX($E9:BG9)</f>
        <v>1.4260841666666699</v>
      </c>
      <c r="BH32">
        <f>MAX($E9:BH9)</f>
        <v>1.4260841666666699</v>
      </c>
      <c r="BI32">
        <f>MAX($E9:BI9)</f>
        <v>1.4846925</v>
      </c>
      <c r="BJ32">
        <f>MAX($E9:BJ9)</f>
        <v>1.4846925</v>
      </c>
      <c r="BK32">
        <f>MAX($E9:BK9)</f>
        <v>1.4846925</v>
      </c>
      <c r="BL32">
        <f>MAX($E9:BL9)</f>
        <v>1.4846925</v>
      </c>
      <c r="BM32">
        <f>MAX($E9:BM9)</f>
        <v>1.4846925</v>
      </c>
      <c r="BN32">
        <f>MAX($E9:BN9)</f>
        <v>1.4846925</v>
      </c>
      <c r="BO32">
        <f>MAX($E9:BO9)</f>
        <v>1.4846925</v>
      </c>
      <c r="BP32">
        <f>MAX($E9:BP9)</f>
        <v>1.4846925</v>
      </c>
      <c r="BQ32">
        <f>MAX($E9:BQ9)</f>
        <v>1.4846925</v>
      </c>
      <c r="BR32">
        <f>MAX($E9:BR9)</f>
        <v>1.4894591666666701</v>
      </c>
      <c r="BS32">
        <f>MAX($E9:BS9)</f>
        <v>1.4894591666666701</v>
      </c>
      <c r="BT32">
        <f>MAX($E9:BT9)</f>
        <v>1.4894591666666701</v>
      </c>
      <c r="BU32">
        <f>MAX($E9:BU9)</f>
        <v>1.4894591666666701</v>
      </c>
      <c r="BV32">
        <f>MAX($E9:BV9)</f>
        <v>1.50728833333333</v>
      </c>
      <c r="BW32">
        <f>MAX($E9:BW9)</f>
        <v>1.5173291666666699</v>
      </c>
      <c r="BX32">
        <f>MAX($E9:BX9)</f>
        <v>1.59229833333333</v>
      </c>
      <c r="BY32">
        <f>MAX($E9:BY9)</f>
        <v>1.59229833333333</v>
      </c>
      <c r="BZ32">
        <f>MAX($E9:BZ9)</f>
        <v>1.6025024999999999</v>
      </c>
      <c r="CA32">
        <f>MAX($E9:CA9)</f>
        <v>1.6025024999999999</v>
      </c>
      <c r="CB32">
        <f>MAX($E9:CB9)</f>
        <v>1.6025024999999999</v>
      </c>
      <c r="CC32">
        <f>MAX($E9:CC9)</f>
        <v>1.6025024999999999</v>
      </c>
    </row>
    <row r="33" spans="1:82" x14ac:dyDescent="0.25">
      <c r="A33">
        <f t="shared" si="6"/>
        <v>2.4013148914412401</v>
      </c>
      <c r="B33">
        <f t="shared" si="6"/>
        <v>2.7807226442889559</v>
      </c>
      <c r="C33">
        <f t="shared" si="6"/>
        <v>0.41643851190204051</v>
      </c>
      <c r="E33">
        <f>MAX($E10:E10)</f>
        <v>0</v>
      </c>
      <c r="F33">
        <f>MAX($E10:F10)</f>
        <v>0</v>
      </c>
      <c r="G33">
        <f>MAX($E10:G10)</f>
        <v>0</v>
      </c>
      <c r="H33">
        <f>MAX($E10:H10)</f>
        <v>0</v>
      </c>
      <c r="I33">
        <f>MAX($E10:I10)</f>
        <v>6.3024999999999904E-3</v>
      </c>
      <c r="J33">
        <f>MAX($E10:J10)</f>
        <v>6.3024999999999904E-3</v>
      </c>
      <c r="K33">
        <f>MAX($E10:K10)</f>
        <v>6.3024999999999904E-3</v>
      </c>
      <c r="L33">
        <f>MAX($E10:L10)</f>
        <v>7.5510750000000001E-2</v>
      </c>
      <c r="M33">
        <f>MAX($E10:M10)</f>
        <v>7.5510750000000001E-2</v>
      </c>
      <c r="N33">
        <f>MAX($E10:N10)</f>
        <v>7.5510750000000001E-2</v>
      </c>
      <c r="O33">
        <f>MAX($E10:O10)</f>
        <v>0.12783749999999999</v>
      </c>
      <c r="P33">
        <f>MAX($E10:P10)</f>
        <v>0.12783749999999999</v>
      </c>
      <c r="Q33">
        <f>MAX($E10:Q10)</f>
        <v>0.12783749999999999</v>
      </c>
      <c r="R33">
        <f>MAX($E10:R10)</f>
        <v>0.12783749999999999</v>
      </c>
      <c r="S33">
        <f>MAX($E10:S10)</f>
        <v>0.12783749999999999</v>
      </c>
      <c r="T33">
        <f>MAX($E10:T10)</f>
        <v>0.12783749999999999</v>
      </c>
      <c r="U33">
        <f>MAX($E10:U10)</f>
        <v>0.12783749999999999</v>
      </c>
      <c r="V33">
        <f>MAX($E10:V10)</f>
        <v>0.12783749999999999</v>
      </c>
      <c r="W33">
        <f>MAX($E10:W10)</f>
        <v>0.12783749999999999</v>
      </c>
      <c r="X33">
        <f>MAX($E10:X10)</f>
        <v>0.12783749999999999</v>
      </c>
      <c r="Y33">
        <f>MAX($E10:Y10)</f>
        <v>0.12783749999999999</v>
      </c>
      <c r="Z33">
        <f>MAX($E10:Z10)</f>
        <v>0.12783749999999999</v>
      </c>
      <c r="AA33">
        <f>MAX($E10:AA10)</f>
        <v>0.12783749999999999</v>
      </c>
      <c r="AB33">
        <f>MAX($E10:AB10)</f>
        <v>0.12783749999999999</v>
      </c>
      <c r="AC33">
        <f>MAX($E10:AC10)</f>
        <v>0.15665499999999999</v>
      </c>
      <c r="AD33">
        <f>MAX($E10:AD10)</f>
        <v>0.2012825</v>
      </c>
      <c r="AE33">
        <f>MAX($E10:AE10)</f>
        <v>0.2012825</v>
      </c>
      <c r="AF33">
        <f>MAX($E10:AF10)</f>
        <v>0.25692750000000097</v>
      </c>
      <c r="AG33">
        <f>MAX($E10:AG10)</f>
        <v>0.25692750000000097</v>
      </c>
      <c r="AH33">
        <f>MAX($E10:AH10)</f>
        <v>0.59854750000000001</v>
      </c>
      <c r="AI33">
        <f>MAX($E10:AI10)</f>
        <v>0.60185500000000003</v>
      </c>
      <c r="AJ33">
        <f>MAX($E10:AJ10)</f>
        <v>0.60185500000000003</v>
      </c>
      <c r="AK33">
        <f>MAX($E10:AK10)</f>
        <v>1.0051125000000001</v>
      </c>
      <c r="AL33">
        <f>MAX($E10:AL10)</f>
        <v>1.0051125000000001</v>
      </c>
      <c r="AM33">
        <f>MAX($E10:AM10)</f>
        <v>1.0051125000000001</v>
      </c>
      <c r="AN33">
        <f>MAX($E10:AN10)</f>
        <v>1.0364374999999999</v>
      </c>
      <c r="AO33">
        <f>MAX($E10:AO10)</f>
        <v>1.1109625000000001</v>
      </c>
      <c r="AP33">
        <f>MAX($E10:AP10)</f>
        <v>1.151475</v>
      </c>
      <c r="AQ33">
        <f>MAX($E10:AQ10)</f>
        <v>1.1547025</v>
      </c>
      <c r="AR33">
        <f>MAX($E10:AR10)</f>
        <v>1.2447649999999999</v>
      </c>
      <c r="AS33">
        <f>MAX($E10:AS10)</f>
        <v>1.3206249999999999</v>
      </c>
      <c r="AT33">
        <f>MAX($E10:AT10)</f>
        <v>1.3206249999999999</v>
      </c>
      <c r="AU33">
        <f>MAX($E10:AU10)</f>
        <v>1.3206249999999999</v>
      </c>
      <c r="AV33">
        <f>MAX($E10:AV10)</f>
        <v>1.3206249999999999</v>
      </c>
      <c r="AW33">
        <f>MAX($E10:AW10)</f>
        <v>1.34684</v>
      </c>
      <c r="AX33">
        <f>MAX($E10:AX10)</f>
        <v>1.3657975</v>
      </c>
      <c r="AY33">
        <f>MAX($E10:AY10)</f>
        <v>1.45878</v>
      </c>
      <c r="AZ33">
        <f>MAX($E10:AZ10)</f>
        <v>1.4631000000000001</v>
      </c>
      <c r="BA33">
        <f>MAX($E10:BA10)</f>
        <v>1.4778024999999999</v>
      </c>
      <c r="BB33">
        <f>MAX($E10:BB10)</f>
        <v>1.527415</v>
      </c>
      <c r="BC33">
        <f>MAX($E10:BC10)</f>
        <v>1.603145</v>
      </c>
      <c r="BD33">
        <f>MAX($E10:BD10)</f>
        <v>1.6747375</v>
      </c>
      <c r="BE33">
        <f>MAX($E10:BE10)</f>
        <v>1.6747375</v>
      </c>
      <c r="BF33">
        <f>MAX($E10:BF10)</f>
        <v>1.6747375</v>
      </c>
      <c r="BG33">
        <f>MAX($E10:BG10)</f>
        <v>1.6747375</v>
      </c>
      <c r="BH33">
        <f>MAX($E10:BH10)</f>
        <v>1.6747375</v>
      </c>
      <c r="BI33">
        <f>MAX($E10:BI10)</f>
        <v>1.7857099999999999</v>
      </c>
      <c r="BJ33">
        <f>MAX($E10:BJ10)</f>
        <v>1.7857099999999999</v>
      </c>
      <c r="BK33">
        <f>MAX($E10:BK10)</f>
        <v>1.7857099999999999</v>
      </c>
      <c r="BL33">
        <f>MAX($E10:BL10)</f>
        <v>1.7857099999999999</v>
      </c>
      <c r="BM33">
        <f>MAX($E10:BM10)</f>
        <v>1.7857099999999999</v>
      </c>
      <c r="BN33">
        <f>MAX($E10:BN10)</f>
        <v>1.7857099999999999</v>
      </c>
      <c r="BO33">
        <f>MAX($E10:BO10)</f>
        <v>1.7857099999999999</v>
      </c>
      <c r="BP33">
        <f>MAX($E10:BP10)</f>
        <v>1.7857099999999999</v>
      </c>
      <c r="BQ33">
        <f>MAX($E10:BQ10)</f>
        <v>1.7857099999999999</v>
      </c>
      <c r="BR33">
        <f>MAX($E10:BR10)</f>
        <v>1.7857099999999999</v>
      </c>
      <c r="BS33">
        <f>MAX($E10:BS10)</f>
        <v>1.7857099999999999</v>
      </c>
      <c r="BT33">
        <f>MAX($E10:BT10)</f>
        <v>1.7857099999999999</v>
      </c>
      <c r="BU33">
        <f>MAX($E10:BU10)</f>
        <v>1.7857099999999999</v>
      </c>
      <c r="BV33">
        <f>MAX($E10:BV10)</f>
        <v>1.78752</v>
      </c>
      <c r="BW33">
        <f>MAX($E10:BW10)</f>
        <v>1.8032900000000001</v>
      </c>
      <c r="BX33">
        <f>MAX($E10:BX10)</f>
        <v>1.8757575</v>
      </c>
      <c r="BY33">
        <f>MAX($E10:BY10)</f>
        <v>1.8757575</v>
      </c>
      <c r="BZ33">
        <f>MAX($E10:BZ10)</f>
        <v>1.8757575</v>
      </c>
      <c r="CA33">
        <f>MAX($E10:CA10)</f>
        <v>1.8757575</v>
      </c>
      <c r="CB33">
        <f>MAX($E10:CB10)</f>
        <v>1.8757575</v>
      </c>
      <c r="CC33">
        <f>MAX($E10:CC10)</f>
        <v>1.8757575</v>
      </c>
    </row>
    <row r="34" spans="1:82" x14ac:dyDescent="0.25">
      <c r="A34">
        <f t="shared" si="6"/>
        <v>2.3149591056035899</v>
      </c>
      <c r="B34">
        <f t="shared" si="6"/>
        <v>2.6807226442889567</v>
      </c>
      <c r="C34">
        <f t="shared" si="6"/>
        <v>0.43197307355425851</v>
      </c>
      <c r="E34">
        <f>MAX($E11:E11)</f>
        <v>0</v>
      </c>
      <c r="F34">
        <f>MAX($E11:F11)</f>
        <v>0</v>
      </c>
      <c r="G34">
        <f>MAX($E11:G11)</f>
        <v>0</v>
      </c>
      <c r="H34">
        <f>MAX($E11:H11)</f>
        <v>0</v>
      </c>
      <c r="I34">
        <f>MAX($E11:I11)</f>
        <v>0</v>
      </c>
      <c r="J34">
        <f>MAX($E11:J11)</f>
        <v>0</v>
      </c>
      <c r="K34">
        <f>MAX($E11:K11)</f>
        <v>0</v>
      </c>
      <c r="L34">
        <f>MAX($E11:L11)</f>
        <v>7.0901249999999902E-2</v>
      </c>
      <c r="M34">
        <f>MAX($E11:M11)</f>
        <v>7.0901249999999902E-2</v>
      </c>
      <c r="N34">
        <f>MAX($E11:N11)</f>
        <v>7.0901249999999902E-2</v>
      </c>
      <c r="O34">
        <f>MAX($E11:O11)</f>
        <v>0.121485</v>
      </c>
      <c r="P34">
        <f>MAX($E11:P11)</f>
        <v>0.121485</v>
      </c>
      <c r="Q34">
        <f>MAX($E11:Q11)</f>
        <v>0.121485</v>
      </c>
      <c r="R34">
        <f>MAX($E11:R11)</f>
        <v>0.121485</v>
      </c>
      <c r="S34">
        <f>MAX($E11:S11)</f>
        <v>0.121485</v>
      </c>
      <c r="T34">
        <f>MAX($E11:T11)</f>
        <v>0.121485</v>
      </c>
      <c r="U34">
        <f>MAX($E11:U11)</f>
        <v>0.121485</v>
      </c>
      <c r="V34">
        <f>MAX($E11:V11)</f>
        <v>0.121485</v>
      </c>
      <c r="W34">
        <f>MAX($E11:W11)</f>
        <v>0.121485</v>
      </c>
      <c r="X34">
        <f>MAX($E11:X11)</f>
        <v>0.121485</v>
      </c>
      <c r="Y34">
        <f>MAX($E11:Y11)</f>
        <v>0.121485</v>
      </c>
      <c r="Z34">
        <f>MAX($E11:Z11)</f>
        <v>0.121485</v>
      </c>
      <c r="AA34">
        <f>MAX($E11:AA11)</f>
        <v>0.121485</v>
      </c>
      <c r="AB34">
        <f>MAX($E11:AB11)</f>
        <v>0.121485</v>
      </c>
      <c r="AC34">
        <f>MAX($E11:AC11)</f>
        <v>0.12778999999999999</v>
      </c>
      <c r="AD34">
        <f>MAX($E11:AD11)</f>
        <v>0.176412500000001</v>
      </c>
      <c r="AE34">
        <f>MAX($E11:AE11)</f>
        <v>0.176412500000001</v>
      </c>
      <c r="AF34">
        <f>MAX($E11:AF11)</f>
        <v>0.19592499999999999</v>
      </c>
      <c r="AG34">
        <f>MAX($E11:AG11)</f>
        <v>0.19592499999999999</v>
      </c>
      <c r="AH34">
        <f>MAX($E11:AH11)</f>
        <v>0.53335500000000002</v>
      </c>
      <c r="AI34">
        <f>MAX($E11:AI11)</f>
        <v>0.53499750000000101</v>
      </c>
      <c r="AJ34">
        <f>MAX($E11:AJ11)</f>
        <v>0.53499750000000101</v>
      </c>
      <c r="AK34">
        <f>MAX($E11:AK11)</f>
        <v>0.966597500000001</v>
      </c>
      <c r="AL34">
        <f>MAX($E11:AL11)</f>
        <v>0.966597500000001</v>
      </c>
      <c r="AM34">
        <f>MAX($E11:AM11)</f>
        <v>0.966597500000001</v>
      </c>
      <c r="AN34">
        <f>MAX($E11:AN11)</f>
        <v>1.0070049999999999</v>
      </c>
      <c r="AO34">
        <f>MAX($E11:AO11)</f>
        <v>1.0861675</v>
      </c>
      <c r="AP34">
        <f>MAX($E11:AP11)</f>
        <v>1.1307275000000001</v>
      </c>
      <c r="AQ34">
        <f>MAX($E11:AQ11)</f>
        <v>1.13354</v>
      </c>
      <c r="AR34">
        <f>MAX($E11:AR11)</f>
        <v>1.2302525</v>
      </c>
      <c r="AS34">
        <f>MAX($E11:AS11)</f>
        <v>1.3100350000000001</v>
      </c>
      <c r="AT34">
        <f>MAX($E11:AT11)</f>
        <v>1.3100350000000001</v>
      </c>
      <c r="AU34">
        <f>MAX($E11:AU11)</f>
        <v>1.3100350000000001</v>
      </c>
      <c r="AV34">
        <f>MAX($E11:AV11)</f>
        <v>1.3155049999999999</v>
      </c>
      <c r="AW34">
        <f>MAX($E11:AW11)</f>
        <v>1.3450899999999999</v>
      </c>
      <c r="AX34">
        <f>MAX($E11:AX11)</f>
        <v>1.36477</v>
      </c>
      <c r="AY34">
        <f>MAX($E11:AY11)</f>
        <v>1.4655674999999999</v>
      </c>
      <c r="AZ34">
        <f>MAX($E11:AZ11)</f>
        <v>1.4695750000000001</v>
      </c>
      <c r="BA34">
        <f>MAX($E11:BA11)</f>
        <v>1.4818975000000001</v>
      </c>
      <c r="BB34">
        <f>MAX($E11:BB11)</f>
        <v>1.5312174999999999</v>
      </c>
      <c r="BC34">
        <f>MAX($E11:BC11)</f>
        <v>1.6127100000000001</v>
      </c>
      <c r="BD34">
        <f>MAX($E11:BD11)</f>
        <v>1.6852825</v>
      </c>
      <c r="BE34">
        <f>MAX($E11:BE11)</f>
        <v>1.6852825</v>
      </c>
      <c r="BF34">
        <f>MAX($E11:BF11)</f>
        <v>1.6852825</v>
      </c>
      <c r="BG34">
        <f>MAX($E11:BG11)</f>
        <v>1.6852825</v>
      </c>
      <c r="BH34">
        <f>MAX($E11:BH11)</f>
        <v>1.6852825</v>
      </c>
      <c r="BI34">
        <f>MAX($E11:BI11)</f>
        <v>1.8024150000000001</v>
      </c>
      <c r="BJ34">
        <f>MAX($E11:BJ11)</f>
        <v>1.8024150000000001</v>
      </c>
      <c r="BK34">
        <f>MAX($E11:BK11)</f>
        <v>1.8024150000000001</v>
      </c>
      <c r="BL34">
        <f>MAX($E11:BL11)</f>
        <v>1.8024150000000001</v>
      </c>
      <c r="BM34">
        <f>MAX($E11:BM11)</f>
        <v>1.8024150000000001</v>
      </c>
      <c r="BN34">
        <f>MAX($E11:BN11)</f>
        <v>1.8024150000000001</v>
      </c>
      <c r="BO34">
        <f>MAX($E11:BO11)</f>
        <v>1.8024150000000001</v>
      </c>
      <c r="BP34">
        <f>MAX($E11:BP11)</f>
        <v>1.8024150000000001</v>
      </c>
      <c r="BQ34">
        <f>MAX($E11:BQ11)</f>
        <v>1.9070941666666701</v>
      </c>
      <c r="BR34">
        <f>MAX($E11:BR11)</f>
        <v>1.9519108333333299</v>
      </c>
      <c r="BS34">
        <f>MAX($E11:BS11)</f>
        <v>1.9519108333333299</v>
      </c>
      <c r="BT34">
        <f>MAX($E11:BT11)</f>
        <v>1.9519108333333299</v>
      </c>
      <c r="BU34">
        <f>MAX($E11:BU11)</f>
        <v>1.9519108333333299</v>
      </c>
      <c r="BV34">
        <f>MAX($E11:BV11)</f>
        <v>2.0012275000000002</v>
      </c>
      <c r="BW34">
        <f>MAX($E11:BW11)</f>
        <v>2.0074283333333298</v>
      </c>
      <c r="BX34">
        <f>MAX($E11:BX11)</f>
        <v>2.0878100000000002</v>
      </c>
      <c r="BY34">
        <f>MAX($E11:BY11)</f>
        <v>2.0878100000000002</v>
      </c>
      <c r="BZ34">
        <f>MAX($E11:BZ11)</f>
        <v>2.0910183333333299</v>
      </c>
      <c r="CA34">
        <f>MAX($E11:CA11)</f>
        <v>2.0910183333333299</v>
      </c>
      <c r="CB34">
        <f>MAX($E11:CB11)</f>
        <v>2.0910183333333299</v>
      </c>
      <c r="CC34">
        <f>MAX($E11:CC11)</f>
        <v>2.0910183333333299</v>
      </c>
    </row>
    <row r="35" spans="1:82" x14ac:dyDescent="0.25">
      <c r="A35">
        <f t="shared" si="6"/>
        <v>2.2286033197659298</v>
      </c>
      <c r="B35">
        <f t="shared" si="6"/>
        <v>2.5807226442889464</v>
      </c>
      <c r="C35">
        <f t="shared" si="6"/>
        <v>0.44871152758806354</v>
      </c>
      <c r="E35">
        <f>MAX($E12:E12)</f>
        <v>0</v>
      </c>
      <c r="F35">
        <f>MAX($E12:F12)</f>
        <v>0</v>
      </c>
      <c r="G35">
        <f>MAX($E12:G12)</f>
        <v>0</v>
      </c>
      <c r="H35">
        <f>MAX($E12:H12)</f>
        <v>0</v>
      </c>
      <c r="I35">
        <f>MAX($E12:I12)</f>
        <v>0</v>
      </c>
      <c r="J35">
        <f>MAX($E12:J12)</f>
        <v>0</v>
      </c>
      <c r="K35">
        <f>MAX($E12:K12)</f>
        <v>0</v>
      </c>
      <c r="L35">
        <f>MAX($E12:L12)</f>
        <v>7.1864000000000205E-2</v>
      </c>
      <c r="M35">
        <f>MAX($E12:M12)</f>
        <v>7.1864000000000205E-2</v>
      </c>
      <c r="N35">
        <f>MAX($E12:N12)</f>
        <v>7.1864000000000205E-2</v>
      </c>
      <c r="O35">
        <f>MAX($E12:O12)</f>
        <v>0.11930250000000001</v>
      </c>
      <c r="P35">
        <f>MAX($E12:P12)</f>
        <v>0.1203925</v>
      </c>
      <c r="Q35">
        <f>MAX($E12:Q12)</f>
        <v>0.1203925</v>
      </c>
      <c r="R35">
        <f>MAX($E12:R12)</f>
        <v>0.1203925</v>
      </c>
      <c r="S35">
        <f>MAX($E12:S12)</f>
        <v>0.1203925</v>
      </c>
      <c r="T35">
        <f>MAX($E12:T12)</f>
        <v>0.1203925</v>
      </c>
      <c r="U35">
        <f>MAX($E12:U12)</f>
        <v>0.1203925</v>
      </c>
      <c r="V35">
        <f>MAX($E12:V12)</f>
        <v>0.1203925</v>
      </c>
      <c r="W35">
        <f>MAX($E12:W12)</f>
        <v>0.1203925</v>
      </c>
      <c r="X35">
        <f>MAX($E12:X12)</f>
        <v>0.1203925</v>
      </c>
      <c r="Y35">
        <f>MAX($E12:Y12)</f>
        <v>0.1203925</v>
      </c>
      <c r="Z35">
        <f>MAX($E12:Z12)</f>
        <v>0.1203925</v>
      </c>
      <c r="AA35">
        <f>MAX($E12:AA12)</f>
        <v>0.1203925</v>
      </c>
      <c r="AB35">
        <f>MAX($E12:AB12)</f>
        <v>0.1203925</v>
      </c>
      <c r="AC35">
        <f>MAX($E12:AC12)</f>
        <v>0.1203925</v>
      </c>
      <c r="AD35">
        <f>MAX($E12:AD12)</f>
        <v>0.15174499999999999</v>
      </c>
      <c r="AE35">
        <f>MAX($E12:AE12)</f>
        <v>0.15174499999999999</v>
      </c>
      <c r="AF35">
        <f>MAX($E12:AF12)</f>
        <v>0.15174499999999999</v>
      </c>
      <c r="AG35">
        <f>MAX($E12:AG12)</f>
        <v>0.15174499999999999</v>
      </c>
      <c r="AH35">
        <f>MAX($E12:AH12)</f>
        <v>0.4706225</v>
      </c>
      <c r="AI35">
        <f>MAX($E12:AI12)</f>
        <v>0.4706225</v>
      </c>
      <c r="AJ35">
        <f>MAX($E12:AJ12)</f>
        <v>0.4718</v>
      </c>
      <c r="AK35">
        <f>MAX($E12:AK12)</f>
        <v>0.89388000000000101</v>
      </c>
      <c r="AL35">
        <f>MAX($E12:AL12)</f>
        <v>0.89388000000000101</v>
      </c>
      <c r="AM35">
        <f>MAX($E12:AM12)</f>
        <v>0.89388000000000101</v>
      </c>
      <c r="AN35">
        <f>MAX($E12:AN12)</f>
        <v>0.92836249999999998</v>
      </c>
      <c r="AO35">
        <f>MAX($E12:AO12)</f>
        <v>1.0079849999999999</v>
      </c>
      <c r="AP35">
        <f>MAX($E12:AP12)</f>
        <v>1.058875</v>
      </c>
      <c r="AQ35">
        <f>MAX($E12:AQ12)</f>
        <v>1.06559</v>
      </c>
      <c r="AR35">
        <f>MAX($E12:AR12)</f>
        <v>1.1705775</v>
      </c>
      <c r="AS35">
        <f>MAX($E12:AS12)</f>
        <v>1.250745</v>
      </c>
      <c r="AT35">
        <f>MAX($E12:AT12)</f>
        <v>1.250745</v>
      </c>
      <c r="AU35">
        <f>MAX($E12:AU12)</f>
        <v>1.250745</v>
      </c>
      <c r="AV35">
        <f>MAX($E12:AV12)</f>
        <v>1.2832125000000001</v>
      </c>
      <c r="AW35">
        <f>MAX($E12:AW12)</f>
        <v>1.3375049999999999</v>
      </c>
      <c r="AX35">
        <f>MAX($E12:AX12)</f>
        <v>1.3584099999999999</v>
      </c>
      <c r="AY35">
        <f>MAX($E12:AY12)</f>
        <v>1.4760825</v>
      </c>
      <c r="AZ35">
        <f>MAX($E12:AZ12)</f>
        <v>1.47872</v>
      </c>
      <c r="BA35">
        <f>MAX($E12:BA12)</f>
        <v>1.4913449999999999</v>
      </c>
      <c r="BB35">
        <f>MAX($E12:BB12)</f>
        <v>1.547795</v>
      </c>
      <c r="BC35">
        <f>MAX($E12:BC12)</f>
        <v>1.6388525</v>
      </c>
      <c r="BD35">
        <f>MAX($E12:BD12)</f>
        <v>1.7674300000000001</v>
      </c>
      <c r="BE35">
        <f>MAX($E12:BE12)</f>
        <v>1.7674300000000001</v>
      </c>
      <c r="BF35">
        <f>MAX($E12:BF12)</f>
        <v>1.7963199999999999</v>
      </c>
      <c r="BG35">
        <f>MAX($E12:BG12)</f>
        <v>1.7963199999999999</v>
      </c>
      <c r="BH35">
        <f>MAX($E12:BH12)</f>
        <v>1.7963199999999999</v>
      </c>
      <c r="BI35">
        <f>MAX($E12:BI12)</f>
        <v>1.93524416666667</v>
      </c>
      <c r="BJ35">
        <f>MAX($E12:BJ12)</f>
        <v>1.93524416666667</v>
      </c>
      <c r="BK35">
        <f>MAX($E12:BK12)</f>
        <v>1.93524416666667</v>
      </c>
      <c r="BL35">
        <f>MAX($E12:BL12)</f>
        <v>1.93524416666667</v>
      </c>
      <c r="BM35">
        <f>MAX($E12:BM12)</f>
        <v>1.93524416666667</v>
      </c>
      <c r="BN35">
        <f>MAX($E12:BN12)</f>
        <v>1.93524416666667</v>
      </c>
      <c r="BO35">
        <f>MAX($E12:BO12)</f>
        <v>1.93524416666667</v>
      </c>
      <c r="BP35">
        <f>MAX($E12:BP12)</f>
        <v>1.93524416666667</v>
      </c>
      <c r="BQ35">
        <f>MAX($E12:BQ12)</f>
        <v>2.03592833333333</v>
      </c>
      <c r="BR35">
        <f>MAX($E12:BR12)</f>
        <v>2.0811783333333298</v>
      </c>
      <c r="BS35">
        <f>MAX($E12:BS12)</f>
        <v>2.0811783333333298</v>
      </c>
      <c r="BT35">
        <f>MAX($E12:BT12)</f>
        <v>2.0811783333333298</v>
      </c>
      <c r="BU35">
        <f>MAX($E12:BU12)</f>
        <v>2.0811783333333298</v>
      </c>
      <c r="BV35">
        <f>MAX($E12:BV12)</f>
        <v>2.0811783333333298</v>
      </c>
      <c r="BW35">
        <f>MAX($E12:BW12)</f>
        <v>2.0811783333333298</v>
      </c>
      <c r="BX35">
        <f>MAX($E12:BX12)</f>
        <v>2.1107524999999998</v>
      </c>
      <c r="BY35">
        <f>MAX($E12:BY12)</f>
        <v>2.1107524999999998</v>
      </c>
      <c r="BZ35">
        <f>MAX($E12:BZ12)</f>
        <v>2.1227999999999998</v>
      </c>
      <c r="CA35">
        <f>MAX($E12:CA12)</f>
        <v>2.1227999999999998</v>
      </c>
      <c r="CB35">
        <f>MAX($E12:CB12)</f>
        <v>2.1227999999999998</v>
      </c>
      <c r="CC35">
        <f>MAX($E12:CC12)</f>
        <v>2.1227999999999998</v>
      </c>
    </row>
    <row r="36" spans="1:82" x14ac:dyDescent="0.25">
      <c r="A36">
        <f t="shared" si="6"/>
        <v>2.14224753392828</v>
      </c>
      <c r="B36">
        <f t="shared" si="6"/>
        <v>2.4807226442889481</v>
      </c>
      <c r="C36">
        <f t="shared" si="6"/>
        <v>0.46679946372316788</v>
      </c>
      <c r="E36">
        <f>MAX($E13:E13)</f>
        <v>0</v>
      </c>
      <c r="F36">
        <f>MAX($E13:F13)</f>
        <v>0</v>
      </c>
      <c r="G36">
        <f>MAX($E13:G13)</f>
        <v>0</v>
      </c>
      <c r="H36">
        <f>MAX($E13:H13)</f>
        <v>0</v>
      </c>
      <c r="I36">
        <f>MAX($E13:I13)</f>
        <v>0</v>
      </c>
      <c r="J36">
        <f>MAX($E13:J13)</f>
        <v>0</v>
      </c>
      <c r="K36">
        <f>MAX($E13:K13)</f>
        <v>0</v>
      </c>
      <c r="L36">
        <f>MAX($E13:L13)</f>
        <v>6.3210000000000197E-2</v>
      </c>
      <c r="M36">
        <f>MAX($E13:M13)</f>
        <v>6.3210000000000197E-2</v>
      </c>
      <c r="N36">
        <f>MAX($E13:N13)</f>
        <v>6.3210000000000197E-2</v>
      </c>
      <c r="O36">
        <f>MAX($E13:O13)</f>
        <v>0.11773500000000001</v>
      </c>
      <c r="P36">
        <f>MAX($E13:P13)</f>
        <v>0.12001249999999999</v>
      </c>
      <c r="Q36">
        <f>MAX($E13:Q13)</f>
        <v>0.12001249999999999</v>
      </c>
      <c r="R36">
        <f>MAX($E13:R13)</f>
        <v>0.12001249999999999</v>
      </c>
      <c r="S36">
        <f>MAX($E13:S13)</f>
        <v>0.12001249999999999</v>
      </c>
      <c r="T36">
        <f>MAX($E13:T13)</f>
        <v>0.12001249999999999</v>
      </c>
      <c r="U36">
        <f>MAX($E13:U13)</f>
        <v>0.12001249999999999</v>
      </c>
      <c r="V36">
        <f>MAX($E13:V13)</f>
        <v>0.12001249999999999</v>
      </c>
      <c r="W36">
        <f>MAX($E13:W13)</f>
        <v>0.12001249999999999</v>
      </c>
      <c r="X36">
        <f>MAX($E13:X13)</f>
        <v>0.12001249999999999</v>
      </c>
      <c r="Y36">
        <f>MAX($E13:Y13)</f>
        <v>0.12001249999999999</v>
      </c>
      <c r="Z36">
        <f>MAX($E13:Z13)</f>
        <v>0.12001249999999999</v>
      </c>
      <c r="AA36">
        <f>MAX($E13:AA13)</f>
        <v>0.12001249999999999</v>
      </c>
      <c r="AB36">
        <f>MAX($E13:AB13)</f>
        <v>0.12001249999999999</v>
      </c>
      <c r="AC36">
        <f>MAX($E13:AC13)</f>
        <v>0.12001249999999999</v>
      </c>
      <c r="AD36">
        <f>MAX($E13:AD13)</f>
        <v>0.13019500000000001</v>
      </c>
      <c r="AE36">
        <f>MAX($E13:AE13)</f>
        <v>0.13019500000000001</v>
      </c>
      <c r="AF36">
        <f>MAX($E13:AF13)</f>
        <v>0.13019500000000001</v>
      </c>
      <c r="AG36">
        <f>MAX($E13:AG13)</f>
        <v>0.13019500000000001</v>
      </c>
      <c r="AH36">
        <f>MAX($E13:AH13)</f>
        <v>0.42085499999999998</v>
      </c>
      <c r="AI36">
        <f>MAX($E13:AI13)</f>
        <v>0.42145250000000001</v>
      </c>
      <c r="AJ36">
        <f>MAX($E13:AJ13)</f>
        <v>0.42145250000000001</v>
      </c>
      <c r="AK36">
        <f>MAX($E13:AK13)</f>
        <v>0.83956750000000002</v>
      </c>
      <c r="AL36">
        <f>MAX($E13:AL13)</f>
        <v>0.83956750000000002</v>
      </c>
      <c r="AM36">
        <f>MAX($E13:AM13)</f>
        <v>0.83956750000000002</v>
      </c>
      <c r="AN36">
        <f>MAX($E13:AN13)</f>
        <v>0.87052499999999999</v>
      </c>
      <c r="AO36">
        <f>MAX($E13:AO13)</f>
        <v>0.94905250000000096</v>
      </c>
      <c r="AP36">
        <f>MAX($E13:AP13)</f>
        <v>0.99334250000000002</v>
      </c>
      <c r="AQ36">
        <f>MAX($E13:AQ13)</f>
        <v>1.0007600000000001</v>
      </c>
      <c r="AR36">
        <f>MAX($E13:AR13)</f>
        <v>1.1161274999999999</v>
      </c>
      <c r="AS36">
        <f>MAX($E13:AS13)</f>
        <v>1.192145</v>
      </c>
      <c r="AT36">
        <f>MAX($E13:AT13)</f>
        <v>1.192145</v>
      </c>
      <c r="AU36">
        <f>MAX($E13:AU13)</f>
        <v>1.192145</v>
      </c>
      <c r="AV36">
        <f>MAX($E13:AV13)</f>
        <v>1.2386600000000001</v>
      </c>
      <c r="AW36">
        <f>MAX($E13:AW13)</f>
        <v>1.30304</v>
      </c>
      <c r="AX36">
        <f>MAX($E13:AX13)</f>
        <v>1.3247374999999999</v>
      </c>
      <c r="AY36">
        <f>MAX($E13:AY13)</f>
        <v>1.4377450000000001</v>
      </c>
      <c r="AZ36">
        <f>MAX($E13:AZ13)</f>
        <v>1.4408300000000001</v>
      </c>
      <c r="BA36">
        <f>MAX($E13:BA13)</f>
        <v>1.4525025</v>
      </c>
      <c r="BB36">
        <f>MAX($E13:BB13)</f>
        <v>1.5047675</v>
      </c>
      <c r="BC36">
        <f>MAX($E13:BC13)</f>
        <v>1.6079349999999999</v>
      </c>
      <c r="BD36">
        <f>MAX($E13:BD13)</f>
        <v>1.731495</v>
      </c>
      <c r="BE36">
        <f>MAX($E13:BE13)</f>
        <v>1.731495</v>
      </c>
      <c r="BF36">
        <f>MAX($E13:BF13)</f>
        <v>1.7887200000000001</v>
      </c>
      <c r="BG36">
        <f>MAX($E13:BG13)</f>
        <v>1.7887200000000001</v>
      </c>
      <c r="BH36">
        <f>MAX($E13:BH13)</f>
        <v>1.7887200000000001</v>
      </c>
      <c r="BI36">
        <f>MAX($E13:BI13)</f>
        <v>1.942515</v>
      </c>
      <c r="BJ36">
        <f>MAX($E13:BJ13)</f>
        <v>1.942515</v>
      </c>
      <c r="BK36">
        <f>MAX($E13:BK13)</f>
        <v>1.942515</v>
      </c>
      <c r="BL36">
        <f>MAX($E13:BL13)</f>
        <v>1.942515</v>
      </c>
      <c r="BM36">
        <f>MAX($E13:BM13)</f>
        <v>1.942515</v>
      </c>
      <c r="BN36">
        <f>MAX($E13:BN13)</f>
        <v>1.942515</v>
      </c>
      <c r="BO36">
        <f>MAX($E13:BO13)</f>
        <v>1.942515</v>
      </c>
      <c r="BP36">
        <f>MAX($E13:BP13)</f>
        <v>1.942515</v>
      </c>
      <c r="BQ36">
        <f>MAX($E13:BQ13)</f>
        <v>1.99882583333333</v>
      </c>
      <c r="BR36">
        <f>MAX($E13:BR13)</f>
        <v>2.0486916666666701</v>
      </c>
      <c r="BS36">
        <f>MAX($E13:BS13)</f>
        <v>2.0486916666666701</v>
      </c>
      <c r="BT36">
        <f>MAX($E13:BT13)</f>
        <v>2.0486916666666701</v>
      </c>
      <c r="BU36">
        <f>MAX($E13:BU13)</f>
        <v>2.0520550000000002</v>
      </c>
      <c r="BV36">
        <f>MAX($E13:BV13)</f>
        <v>2.1063291666666699</v>
      </c>
      <c r="BW36">
        <f>MAX($E13:BW13)</f>
        <v>2.1259933333333301</v>
      </c>
      <c r="BX36">
        <f>MAX($E13:BX13)</f>
        <v>2.2093266666666702</v>
      </c>
      <c r="BY36">
        <f>MAX($E13:BY13)</f>
        <v>2.2093266666666702</v>
      </c>
      <c r="BZ36">
        <f>MAX($E13:BZ13)</f>
        <v>2.24303083333333</v>
      </c>
      <c r="CA36">
        <f>MAX($E13:CA13)</f>
        <v>2.24303083333333</v>
      </c>
      <c r="CB36">
        <f>MAX($E13:CB13)</f>
        <v>2.3635475000000001</v>
      </c>
      <c r="CC36">
        <f>MAX($E13:CC13)</f>
        <v>2.3635475000000001</v>
      </c>
    </row>
    <row r="37" spans="1:82" x14ac:dyDescent="0.25">
      <c r="A37">
        <f t="shared" si="6"/>
        <v>2.0558917480906298</v>
      </c>
      <c r="B37">
        <f t="shared" si="6"/>
        <v>2.3807226442889493</v>
      </c>
      <c r="C37">
        <f t="shared" si="6"/>
        <v>0.48640693311247096</v>
      </c>
      <c r="E37">
        <f>MAX($E14:E14)</f>
        <v>0</v>
      </c>
      <c r="F37">
        <f>MAX($E14:F14)</f>
        <v>0</v>
      </c>
      <c r="G37">
        <f>MAX($E14:G14)</f>
        <v>0</v>
      </c>
      <c r="H37">
        <f>MAX($E14:H14)</f>
        <v>0</v>
      </c>
      <c r="I37">
        <f>MAX($E14:I14)</f>
        <v>0</v>
      </c>
      <c r="J37">
        <f>MAX($E14:J14)</f>
        <v>0</v>
      </c>
      <c r="K37">
        <f>MAX($E14:K14)</f>
        <v>0</v>
      </c>
      <c r="L37">
        <f>MAX($E14:L14)</f>
        <v>5.8719999999999897E-2</v>
      </c>
      <c r="M37">
        <f>MAX($E14:M14)</f>
        <v>5.8719999999999897E-2</v>
      </c>
      <c r="N37">
        <f>MAX($E14:N14)</f>
        <v>5.8719999999999897E-2</v>
      </c>
      <c r="O37">
        <f>MAX($E14:O14)</f>
        <v>0.11755</v>
      </c>
      <c r="P37">
        <f>MAX($E14:P14)</f>
        <v>0.1224625</v>
      </c>
      <c r="Q37">
        <f>MAX($E14:Q14)</f>
        <v>0.1224625</v>
      </c>
      <c r="R37">
        <f>MAX($E14:R14)</f>
        <v>0.1224625</v>
      </c>
      <c r="S37">
        <f>MAX($E14:S14)</f>
        <v>0.1224625</v>
      </c>
      <c r="T37">
        <f>MAX($E14:T14)</f>
        <v>0.1224625</v>
      </c>
      <c r="U37">
        <f>MAX($E14:U14)</f>
        <v>0.1224625</v>
      </c>
      <c r="V37">
        <f>MAX($E14:V14)</f>
        <v>0.1224625</v>
      </c>
      <c r="W37">
        <f>MAX($E14:W14)</f>
        <v>0.1224625</v>
      </c>
      <c r="X37">
        <f>MAX($E14:X14)</f>
        <v>0.1224625</v>
      </c>
      <c r="Y37">
        <f>MAX($E14:Y14)</f>
        <v>0.1224625</v>
      </c>
      <c r="Z37">
        <f>MAX($E14:Z14)</f>
        <v>0.1224625</v>
      </c>
      <c r="AA37">
        <f>MAX($E14:AA14)</f>
        <v>0.1224625</v>
      </c>
      <c r="AB37">
        <f>MAX($E14:AB14)</f>
        <v>0.1224625</v>
      </c>
      <c r="AC37">
        <f>MAX($E14:AC14)</f>
        <v>0.1224625</v>
      </c>
      <c r="AD37">
        <f>MAX($E14:AD14)</f>
        <v>0.1224625</v>
      </c>
      <c r="AE37">
        <f>MAX($E14:AE14)</f>
        <v>0.1224625</v>
      </c>
      <c r="AF37">
        <f>MAX($E14:AF14)</f>
        <v>0.1224625</v>
      </c>
      <c r="AG37">
        <f>MAX($E14:AG14)</f>
        <v>0.1224625</v>
      </c>
      <c r="AH37">
        <f>MAX($E14:AH14)</f>
        <v>0.24746750000000001</v>
      </c>
      <c r="AI37">
        <f>MAX($E14:AI14)</f>
        <v>0.24746750000000001</v>
      </c>
      <c r="AJ37">
        <f>MAX($E14:AJ14)</f>
        <v>0.24746750000000001</v>
      </c>
      <c r="AK37">
        <f>MAX($E14:AK14)</f>
        <v>0.61149750000000003</v>
      </c>
      <c r="AL37">
        <f>MAX($E14:AL14)</f>
        <v>0.61149750000000003</v>
      </c>
      <c r="AM37">
        <f>MAX($E14:AM14)</f>
        <v>0.61149750000000003</v>
      </c>
      <c r="AN37">
        <f>MAX($E14:AN14)</f>
        <v>0.615865</v>
      </c>
      <c r="AO37">
        <f>MAX($E14:AO14)</f>
        <v>0.69648750000000004</v>
      </c>
      <c r="AP37">
        <f>MAX($E14:AP14)</f>
        <v>0.70991000000000104</v>
      </c>
      <c r="AQ37">
        <f>MAX($E14:AQ14)</f>
        <v>0.71023749999999897</v>
      </c>
      <c r="AR37">
        <f>MAX($E14:AR14)</f>
        <v>0.83619000000000099</v>
      </c>
      <c r="AS37">
        <f>MAX($E14:AS14)</f>
        <v>0.89800749999999896</v>
      </c>
      <c r="AT37">
        <f>MAX($E14:AT14)</f>
        <v>0.89800749999999896</v>
      </c>
      <c r="AU37">
        <f>MAX($E14:AU14)</f>
        <v>0.89800749999999896</v>
      </c>
      <c r="AV37">
        <f>MAX($E14:AV14)</f>
        <v>0.95552250000000005</v>
      </c>
      <c r="AW37">
        <f>MAX($E14:AW14)</f>
        <v>1.0220750000000001</v>
      </c>
      <c r="AX37">
        <f>MAX($E14:AX14)</f>
        <v>1.0349999999999999</v>
      </c>
      <c r="AY37">
        <f>MAX($E14:AY14)</f>
        <v>1.1517075000000001</v>
      </c>
      <c r="AZ37">
        <f>MAX($E14:AZ14)</f>
        <v>1.154525</v>
      </c>
      <c r="BA37">
        <f>MAX($E14:BA14)</f>
        <v>1.1683775000000001</v>
      </c>
      <c r="BB37">
        <f>MAX($E14:BB14)</f>
        <v>1.220035</v>
      </c>
      <c r="BC37">
        <f>MAX($E14:BC14)</f>
        <v>1.322565</v>
      </c>
      <c r="BD37">
        <f>MAX($E14:BD14)</f>
        <v>1.444895</v>
      </c>
      <c r="BE37">
        <f>MAX($E14:BE14)</f>
        <v>1.444895</v>
      </c>
      <c r="BF37">
        <f>MAX($E14:BF14)</f>
        <v>1.498705</v>
      </c>
      <c r="BG37">
        <f>MAX($E14:BG14)</f>
        <v>1.498705</v>
      </c>
      <c r="BH37">
        <f>MAX($E14:BH14)</f>
        <v>1.498705</v>
      </c>
      <c r="BI37">
        <f>MAX($E14:BI14)</f>
        <v>1.6558275</v>
      </c>
      <c r="BJ37">
        <f>MAX($E14:BJ14)</f>
        <v>1.6558275</v>
      </c>
      <c r="BK37">
        <f>MAX($E14:BK14)</f>
        <v>1.6558275</v>
      </c>
      <c r="BL37">
        <f>MAX($E14:BL14)</f>
        <v>1.6558275</v>
      </c>
      <c r="BM37">
        <f>MAX($E14:BM14)</f>
        <v>1.6558275</v>
      </c>
      <c r="BN37">
        <f>MAX($E14:BN14)</f>
        <v>1.6558275</v>
      </c>
      <c r="BO37">
        <f>MAX($E14:BO14)</f>
        <v>1.6558275</v>
      </c>
      <c r="BP37">
        <f>MAX($E14:BP14)</f>
        <v>1.6558275</v>
      </c>
      <c r="BQ37">
        <f>MAX($E14:BQ14)</f>
        <v>1.704135</v>
      </c>
      <c r="BR37">
        <f>MAX($E14:BR14)</f>
        <v>1.7541500000000001</v>
      </c>
      <c r="BS37">
        <f>MAX($E14:BS14)</f>
        <v>1.7541500000000001</v>
      </c>
      <c r="BT37">
        <f>MAX($E14:BT14)</f>
        <v>1.7541500000000001</v>
      </c>
      <c r="BU37">
        <f>MAX($E14:BU14)</f>
        <v>1.7541500000000001</v>
      </c>
      <c r="BV37">
        <f>MAX($E14:BV14)</f>
        <v>1.796905</v>
      </c>
      <c r="BW37">
        <f>MAX($E14:BW14)</f>
        <v>1.81484</v>
      </c>
      <c r="BX37">
        <f>MAX($E14:BX14)</f>
        <v>1.89991</v>
      </c>
      <c r="BY37">
        <f>MAX($E14:BY14)</f>
        <v>1.89991</v>
      </c>
      <c r="BZ37">
        <f>MAX($E14:BZ14)</f>
        <v>1.933945</v>
      </c>
      <c r="CA37">
        <f>MAX($E14:CA14)</f>
        <v>1.933945</v>
      </c>
      <c r="CB37">
        <f>MAX($E14:CB14)</f>
        <v>1.9400975</v>
      </c>
      <c r="CC37">
        <f>MAX($E14:CC14)</f>
        <v>1.9945200000000001</v>
      </c>
    </row>
    <row r="38" spans="1:82" x14ac:dyDescent="0.25">
      <c r="A38">
        <f t="shared" si="6"/>
        <v>1.96953596225298</v>
      </c>
      <c r="B38">
        <f t="shared" si="6"/>
        <v>2.2807226442889506</v>
      </c>
      <c r="C38">
        <f t="shared" si="6"/>
        <v>0.50773381099174542</v>
      </c>
      <c r="E38">
        <f>MAX($E15:E15)</f>
        <v>0</v>
      </c>
      <c r="F38">
        <f>MAX($E15:F15)</f>
        <v>0</v>
      </c>
      <c r="G38">
        <f>MAX($E15:G15)</f>
        <v>0</v>
      </c>
      <c r="H38">
        <f>MAX($E15:H15)</f>
        <v>0</v>
      </c>
      <c r="I38">
        <f>MAX($E15:I15)</f>
        <v>0</v>
      </c>
      <c r="J38">
        <f>MAX($E15:J15)</f>
        <v>0</v>
      </c>
      <c r="K38">
        <f>MAX($E15:K15)</f>
        <v>0</v>
      </c>
      <c r="L38">
        <f>MAX($E15:L15)</f>
        <v>6.10225E-2</v>
      </c>
      <c r="M38">
        <f>MAX($E15:M15)</f>
        <v>6.10225E-2</v>
      </c>
      <c r="N38">
        <f>MAX($E15:N15)</f>
        <v>6.10225E-2</v>
      </c>
      <c r="O38">
        <f>MAX($E15:O15)</f>
        <v>0.12180249999999999</v>
      </c>
      <c r="P38">
        <f>MAX($E15:P15)</f>
        <v>0.126335</v>
      </c>
      <c r="Q38">
        <f>MAX($E15:Q15)</f>
        <v>0.126335</v>
      </c>
      <c r="R38">
        <f>MAX($E15:R15)</f>
        <v>0.126335</v>
      </c>
      <c r="S38">
        <f>MAX($E15:S15)</f>
        <v>0.126335</v>
      </c>
      <c r="T38">
        <f>MAX($E15:T15)</f>
        <v>0.126335</v>
      </c>
      <c r="U38">
        <f>MAX($E15:U15)</f>
        <v>0.126335</v>
      </c>
      <c r="V38">
        <f>MAX($E15:V15)</f>
        <v>0.126335</v>
      </c>
      <c r="W38">
        <f>MAX($E15:W15)</f>
        <v>0.126335</v>
      </c>
      <c r="X38">
        <f>MAX($E15:X15)</f>
        <v>0.126335</v>
      </c>
      <c r="Y38">
        <f>MAX($E15:Y15)</f>
        <v>0.126335</v>
      </c>
      <c r="Z38">
        <f>MAX($E15:Z15)</f>
        <v>0.126335</v>
      </c>
      <c r="AA38">
        <f>MAX($E15:AA15)</f>
        <v>0.126335</v>
      </c>
      <c r="AB38">
        <f>MAX($E15:AB15)</f>
        <v>0.126335</v>
      </c>
      <c r="AC38">
        <f>MAX($E15:AC15)</f>
        <v>0.126335</v>
      </c>
      <c r="AD38">
        <f>MAX($E15:AD15)</f>
        <v>0.126335</v>
      </c>
      <c r="AE38">
        <f>MAX($E15:AE15)</f>
        <v>0.126335</v>
      </c>
      <c r="AF38">
        <f>MAX($E15:AF15)</f>
        <v>0.126335</v>
      </c>
      <c r="AG38">
        <f>MAX($E15:AG15)</f>
        <v>0.126335</v>
      </c>
      <c r="AH38">
        <f>MAX($E15:AH15)</f>
        <v>0.126335</v>
      </c>
      <c r="AI38">
        <f>MAX($E15:AI15)</f>
        <v>0.126335</v>
      </c>
      <c r="AJ38">
        <f>MAX($E15:AJ15)</f>
        <v>0.126335</v>
      </c>
      <c r="AK38">
        <f>MAX($E15:AK15)</f>
        <v>0.41640750000000099</v>
      </c>
      <c r="AL38">
        <f>MAX($E15:AL15)</f>
        <v>0.41640750000000099</v>
      </c>
      <c r="AM38">
        <f>MAX($E15:AM15)</f>
        <v>0.41640750000000099</v>
      </c>
      <c r="AN38">
        <f>MAX($E15:AN15)</f>
        <v>0.41640750000000099</v>
      </c>
      <c r="AO38">
        <f>MAX($E15:AO15)</f>
        <v>0.47754999999999997</v>
      </c>
      <c r="AP38">
        <f>MAX($E15:AP15)</f>
        <v>0.47754999999999997</v>
      </c>
      <c r="AQ38">
        <f>MAX($E15:AQ15)</f>
        <v>0.47754999999999997</v>
      </c>
      <c r="AR38">
        <f>MAX($E15:AR15)</f>
        <v>0.60894250000000005</v>
      </c>
      <c r="AS38">
        <f>MAX($E15:AS15)</f>
        <v>0.65898250000000003</v>
      </c>
      <c r="AT38">
        <f>MAX($E15:AT15)</f>
        <v>0.65898250000000003</v>
      </c>
      <c r="AU38">
        <f>MAX($E15:AU15)</f>
        <v>0.65898250000000003</v>
      </c>
      <c r="AV38">
        <f>MAX($E15:AV15)</f>
        <v>0.72940249999999995</v>
      </c>
      <c r="AW38">
        <f>MAX($E15:AW15)</f>
        <v>0.80089250000000101</v>
      </c>
      <c r="AX38">
        <f>MAX($E15:AX15)</f>
        <v>0.82072749999999906</v>
      </c>
      <c r="AY38">
        <f>MAX($E15:AY15)</f>
        <v>0.93447499999999994</v>
      </c>
      <c r="AZ38">
        <f>MAX($E15:AZ15)</f>
        <v>0.94088000000000105</v>
      </c>
      <c r="BA38">
        <f>MAX($E15:BA15)</f>
        <v>0.95232499999999998</v>
      </c>
      <c r="BB38">
        <f>MAX($E15:BB15)</f>
        <v>1.0021925</v>
      </c>
      <c r="BC38">
        <f>MAX($E15:BC15)</f>
        <v>1.1011225</v>
      </c>
      <c r="BD38">
        <f>MAX($E15:BD15)</f>
        <v>1.2241975</v>
      </c>
      <c r="BE38">
        <f>MAX($E15:BE15)</f>
        <v>1.2241975</v>
      </c>
      <c r="BF38">
        <f>MAX($E15:BF15)</f>
        <v>1.2780199999999999</v>
      </c>
      <c r="BG38">
        <f>MAX($E15:BG15)</f>
        <v>1.2780199999999999</v>
      </c>
      <c r="BH38">
        <f>MAX($E15:BH15)</f>
        <v>1.2780199999999999</v>
      </c>
      <c r="BI38">
        <f>MAX($E15:BI15)</f>
        <v>1.444655</v>
      </c>
      <c r="BJ38">
        <f>MAX($E15:BJ15)</f>
        <v>1.444655</v>
      </c>
      <c r="BK38">
        <f>MAX($E15:BK15)</f>
        <v>1.444655</v>
      </c>
      <c r="BL38">
        <f>MAX($E15:BL15)</f>
        <v>1.444655</v>
      </c>
      <c r="BM38">
        <f>MAX($E15:BM15)</f>
        <v>1.444655</v>
      </c>
      <c r="BN38">
        <f>MAX($E15:BN15)</f>
        <v>1.444655</v>
      </c>
      <c r="BO38">
        <f>MAX($E15:BO15)</f>
        <v>1.444655</v>
      </c>
      <c r="BP38">
        <f>MAX($E15:BP15)</f>
        <v>1.444655</v>
      </c>
      <c r="BQ38">
        <f>MAX($E15:BQ15)</f>
        <v>1.4537875</v>
      </c>
      <c r="BR38">
        <f>MAX($E15:BR15)</f>
        <v>1.5096475</v>
      </c>
      <c r="BS38">
        <f>MAX($E15:BS15)</f>
        <v>1.5096475</v>
      </c>
      <c r="BT38">
        <f>MAX($E15:BT15)</f>
        <v>1.5096475</v>
      </c>
      <c r="BU38">
        <f>MAX($E15:BU15)</f>
        <v>1.5096475</v>
      </c>
      <c r="BV38">
        <f>MAX($E15:BV15)</f>
        <v>1.5428725000000001</v>
      </c>
      <c r="BW38">
        <f>MAX($E15:BW15)</f>
        <v>1.5601725</v>
      </c>
      <c r="BX38">
        <f>MAX($E15:BX15)</f>
        <v>1.6495175</v>
      </c>
      <c r="BY38">
        <f>MAX($E15:BY15)</f>
        <v>1.6495175</v>
      </c>
      <c r="BZ38">
        <f>MAX($E15:BZ15)</f>
        <v>1.68221</v>
      </c>
      <c r="CA38">
        <f>MAX($E15:CA15)</f>
        <v>1.68221</v>
      </c>
      <c r="CB38">
        <f>MAX($E15:CB15)</f>
        <v>1.68221</v>
      </c>
      <c r="CC38">
        <f>MAX($E15:CC15)</f>
        <v>1.7436825</v>
      </c>
    </row>
    <row r="39" spans="1:82" x14ac:dyDescent="0.25">
      <c r="A39">
        <f t="shared" si="6"/>
        <v>1.88318017641533</v>
      </c>
      <c r="B39">
        <f t="shared" si="6"/>
        <v>2.1807226442889518</v>
      </c>
      <c r="C39">
        <f t="shared" si="6"/>
        <v>0.53101663479886418</v>
      </c>
      <c r="E39">
        <f>MAX($E16:E16)</f>
        <v>0</v>
      </c>
      <c r="F39">
        <f>MAX($E16:F16)</f>
        <v>0</v>
      </c>
      <c r="G39">
        <f>MAX($E16:G16)</f>
        <v>0</v>
      </c>
      <c r="H39">
        <f>MAX($E16:H16)</f>
        <v>0</v>
      </c>
      <c r="I39">
        <f>MAX($E16:I16)</f>
        <v>0</v>
      </c>
      <c r="J39">
        <f>MAX($E16:J16)</f>
        <v>0</v>
      </c>
      <c r="K39">
        <f>MAX($E16:K16)</f>
        <v>0</v>
      </c>
      <c r="L39">
        <f>MAX($E16:L16)</f>
        <v>6.4892500000000006E-2</v>
      </c>
      <c r="M39">
        <f>MAX($E16:M16)</f>
        <v>6.4892500000000006E-2</v>
      </c>
      <c r="N39">
        <f>MAX($E16:N16)</f>
        <v>6.4892500000000006E-2</v>
      </c>
      <c r="O39">
        <f>MAX($E16:O16)</f>
        <v>0.12847249999999999</v>
      </c>
      <c r="P39">
        <f>MAX($E16:P16)</f>
        <v>0.133295</v>
      </c>
      <c r="Q39">
        <f>MAX($E16:Q16)</f>
        <v>0.133295</v>
      </c>
      <c r="R39">
        <f>MAX($E16:R16)</f>
        <v>0.133295</v>
      </c>
      <c r="S39">
        <f>MAX($E16:S16)</f>
        <v>0.133295</v>
      </c>
      <c r="T39">
        <f>MAX($E16:T16)</f>
        <v>0.133295</v>
      </c>
      <c r="U39">
        <f>MAX($E16:U16)</f>
        <v>0.133295</v>
      </c>
      <c r="V39">
        <f>MAX($E16:V16)</f>
        <v>0.133295</v>
      </c>
      <c r="W39">
        <f>MAX($E16:W16)</f>
        <v>0.133295</v>
      </c>
      <c r="X39">
        <f>MAX($E16:X16)</f>
        <v>0.133295</v>
      </c>
      <c r="Y39">
        <f>MAX($E16:Y16)</f>
        <v>0.133295</v>
      </c>
      <c r="Z39">
        <f>MAX($E16:Z16)</f>
        <v>0.133295</v>
      </c>
      <c r="AA39">
        <f>MAX($E16:AA16)</f>
        <v>0.133295</v>
      </c>
      <c r="AB39">
        <f>MAX($E16:AB16)</f>
        <v>0.133295</v>
      </c>
      <c r="AC39">
        <f>MAX($E16:AC16)</f>
        <v>0.133295</v>
      </c>
      <c r="AD39">
        <f>MAX($E16:AD16)</f>
        <v>0.133295</v>
      </c>
      <c r="AE39">
        <f>MAX($E16:AE16)</f>
        <v>0.133295</v>
      </c>
      <c r="AF39">
        <f>MAX($E16:AF16)</f>
        <v>0.133295</v>
      </c>
      <c r="AG39">
        <f>MAX($E16:AG16)</f>
        <v>0.133295</v>
      </c>
      <c r="AH39">
        <f>MAX($E16:AH16)</f>
        <v>0.133295</v>
      </c>
      <c r="AI39">
        <f>MAX($E16:AI16)</f>
        <v>0.133295</v>
      </c>
      <c r="AJ39">
        <f>MAX($E16:AJ16)</f>
        <v>0.133295</v>
      </c>
      <c r="AK39">
        <f>MAX($E16:AK16)</f>
        <v>0.26528000000000101</v>
      </c>
      <c r="AL39">
        <f>MAX($E16:AL16)</f>
        <v>0.26528000000000101</v>
      </c>
      <c r="AM39">
        <f>MAX($E16:AM16)</f>
        <v>0.26528000000000101</v>
      </c>
      <c r="AN39">
        <f>MAX($E16:AN16)</f>
        <v>0.26528000000000101</v>
      </c>
      <c r="AO39">
        <f>MAX($E16:AO16)</f>
        <v>0.32340999999999998</v>
      </c>
      <c r="AP39">
        <f>MAX($E16:AP16)</f>
        <v>0.32340999999999998</v>
      </c>
      <c r="AQ39">
        <f>MAX($E16:AQ16)</f>
        <v>0.32340999999999998</v>
      </c>
      <c r="AR39">
        <f>MAX($E16:AR16)</f>
        <v>0.477147500000001</v>
      </c>
      <c r="AS39">
        <f>MAX($E16:AS16)</f>
        <v>0.52393749999999994</v>
      </c>
      <c r="AT39">
        <f>MAX($E16:AT16)</f>
        <v>0.52393749999999994</v>
      </c>
      <c r="AU39">
        <f>MAX($E16:AU16)</f>
        <v>0.52393749999999994</v>
      </c>
      <c r="AV39">
        <f>MAX($E16:AV16)</f>
        <v>0.58703499999999897</v>
      </c>
      <c r="AW39">
        <f>MAX($E16:AW16)</f>
        <v>0.66684500000000002</v>
      </c>
      <c r="AX39">
        <f>MAX($E16:AX16)</f>
        <v>0.683719999999999</v>
      </c>
      <c r="AY39">
        <f>MAX($E16:AY16)</f>
        <v>0.78472249999999999</v>
      </c>
      <c r="AZ39">
        <f>MAX($E16:AZ16)</f>
        <v>0.78964333333333303</v>
      </c>
      <c r="BA39">
        <f>MAX($E16:BA16)</f>
        <v>0.80655833333333304</v>
      </c>
      <c r="BB39">
        <f>MAX($E16:BB16)</f>
        <v>0.84736583333333404</v>
      </c>
      <c r="BC39">
        <f>MAX($E16:BC16)</f>
        <v>0.94492666666666703</v>
      </c>
      <c r="BD39">
        <f>MAX($E16:BD16)</f>
        <v>1.0744658333333299</v>
      </c>
      <c r="BE39">
        <f>MAX($E16:BE16)</f>
        <v>1.0744658333333299</v>
      </c>
      <c r="BF39">
        <f>MAX($E16:BF16)</f>
        <v>1.1215725000000001</v>
      </c>
      <c r="BG39">
        <f>MAX($E16:BG16)</f>
        <v>1.1215725000000001</v>
      </c>
      <c r="BH39">
        <f>MAX($E16:BH16)</f>
        <v>1.1215725000000001</v>
      </c>
      <c r="BI39">
        <f>MAX($E16:BI16)</f>
        <v>1.3066074999999999</v>
      </c>
      <c r="BJ39">
        <f>MAX($E16:BJ16)</f>
        <v>1.3066074999999999</v>
      </c>
      <c r="BK39">
        <f>MAX($E16:BK16)</f>
        <v>1.3066074999999999</v>
      </c>
      <c r="BL39">
        <f>MAX($E16:BL16)</f>
        <v>1.3066074999999999</v>
      </c>
      <c r="BM39">
        <f>MAX($E16:BM16)</f>
        <v>1.3066074999999999</v>
      </c>
      <c r="BN39">
        <f>MAX($E16:BN16)</f>
        <v>1.3066074999999999</v>
      </c>
      <c r="BO39">
        <f>MAX($E16:BO16)</f>
        <v>1.3066074999999999</v>
      </c>
      <c r="BP39">
        <f>MAX($E16:BP16)</f>
        <v>1.3066074999999999</v>
      </c>
      <c r="BQ39">
        <f>MAX($E16:BQ16)</f>
        <v>1.3566291666666701</v>
      </c>
      <c r="BR39">
        <f>MAX($E16:BR16)</f>
        <v>1.42351916666667</v>
      </c>
      <c r="BS39">
        <f>MAX($E16:BS16)</f>
        <v>1.42351916666667</v>
      </c>
      <c r="BT39">
        <f>MAX($E16:BT16)</f>
        <v>1.42351916666667</v>
      </c>
      <c r="BU39">
        <f>MAX($E16:BU16)</f>
        <v>1.42351916666667</v>
      </c>
      <c r="BV39">
        <f>MAX($E16:BV16)</f>
        <v>1.45133666666667</v>
      </c>
      <c r="BW39">
        <f>MAX($E16:BW16)</f>
        <v>1.4681041666666701</v>
      </c>
      <c r="BX39">
        <f>MAX($E16:BX16)</f>
        <v>1.5687866666666701</v>
      </c>
      <c r="BY39">
        <f>MAX($E16:BY16)</f>
        <v>1.5687866666666701</v>
      </c>
      <c r="BZ39">
        <f>MAX($E16:BZ16)</f>
        <v>1.60651416666667</v>
      </c>
      <c r="CA39">
        <f>MAX($E16:CA16)</f>
        <v>1.60651416666667</v>
      </c>
      <c r="CB39">
        <f>MAX($E16:CB16)</f>
        <v>1.66215333333333</v>
      </c>
      <c r="CC39">
        <f>MAX($E16:CC16)</f>
        <v>1.72728666666667</v>
      </c>
    </row>
    <row r="40" spans="1:82" x14ac:dyDescent="0.25">
      <c r="A40">
        <f t="shared" si="6"/>
        <v>1.79682439057768</v>
      </c>
      <c r="B40">
        <f t="shared" si="6"/>
        <v>2.080722644288953</v>
      </c>
      <c r="C40">
        <f t="shared" si="6"/>
        <v>0.5565374141423467</v>
      </c>
      <c r="E40">
        <f>MAX($E17:E17)</f>
        <v>0</v>
      </c>
      <c r="F40">
        <f>MAX($E17:F17)</f>
        <v>0</v>
      </c>
      <c r="G40">
        <f>MAX($E17:G17)</f>
        <v>0</v>
      </c>
      <c r="H40">
        <f>MAX($E17:H17)</f>
        <v>0</v>
      </c>
      <c r="I40">
        <f>MAX($E17:I17)</f>
        <v>0</v>
      </c>
      <c r="J40">
        <f>MAX($E17:J17)</f>
        <v>0</v>
      </c>
      <c r="K40">
        <f>MAX($E17:K17)</f>
        <v>0</v>
      </c>
      <c r="L40">
        <f>MAX($E17:L17)</f>
        <v>7.0527500000000104E-2</v>
      </c>
      <c r="M40">
        <f>MAX($E17:M17)</f>
        <v>7.0527500000000104E-2</v>
      </c>
      <c r="N40">
        <f>MAX($E17:N17)</f>
        <v>7.0527500000000104E-2</v>
      </c>
      <c r="O40">
        <f>MAX($E17:O17)</f>
        <v>0.14244499999999999</v>
      </c>
      <c r="P40">
        <f>MAX($E17:P17)</f>
        <v>0.15601499999999999</v>
      </c>
      <c r="Q40">
        <f>MAX($E17:Q17)</f>
        <v>0.15601499999999999</v>
      </c>
      <c r="R40">
        <f>MAX($E17:R17)</f>
        <v>0.15601499999999999</v>
      </c>
      <c r="S40">
        <f>MAX($E17:S17)</f>
        <v>0.15601499999999999</v>
      </c>
      <c r="T40">
        <f>MAX($E17:T17)</f>
        <v>0.15601499999999999</v>
      </c>
      <c r="U40">
        <f>MAX($E17:U17)</f>
        <v>0.15601499999999999</v>
      </c>
      <c r="V40">
        <f>MAX($E17:V17)</f>
        <v>0.15601499999999999</v>
      </c>
      <c r="W40">
        <f>MAX($E17:W17)</f>
        <v>0.15601499999999999</v>
      </c>
      <c r="X40">
        <f>MAX($E17:X17)</f>
        <v>0.15601499999999999</v>
      </c>
      <c r="Y40">
        <f>MAX($E17:Y17)</f>
        <v>0.15601499999999999</v>
      </c>
      <c r="Z40">
        <f>MAX($E17:Z17)</f>
        <v>0.15601499999999999</v>
      </c>
      <c r="AA40">
        <f>MAX($E17:AA17)</f>
        <v>0.15601499999999999</v>
      </c>
      <c r="AB40">
        <f>MAX($E17:AB17)</f>
        <v>0.15601499999999999</v>
      </c>
      <c r="AC40">
        <f>MAX($E17:AC17)</f>
        <v>0.15601499999999999</v>
      </c>
      <c r="AD40">
        <f>MAX($E17:AD17)</f>
        <v>0.15601499999999999</v>
      </c>
      <c r="AE40">
        <f>MAX($E17:AE17)</f>
        <v>0.15601499999999999</v>
      </c>
      <c r="AF40">
        <f>MAX($E17:AF17)</f>
        <v>0.15601499999999999</v>
      </c>
      <c r="AG40">
        <f>MAX($E17:AG17)</f>
        <v>0.15601499999999999</v>
      </c>
      <c r="AH40">
        <f>MAX($E17:AH17)</f>
        <v>0.15601499999999999</v>
      </c>
      <c r="AI40">
        <f>MAX($E17:AI17)</f>
        <v>0.15601499999999999</v>
      </c>
      <c r="AJ40">
        <f>MAX($E17:AJ17)</f>
        <v>0.15601499999999999</v>
      </c>
      <c r="AK40">
        <f>MAX($E17:AK17)</f>
        <v>0.18515000000000001</v>
      </c>
      <c r="AL40">
        <f>MAX($E17:AL17)</f>
        <v>0.18515000000000001</v>
      </c>
      <c r="AM40">
        <f>MAX($E17:AM17)</f>
        <v>0.18515000000000001</v>
      </c>
      <c r="AN40">
        <f>MAX($E17:AN17)</f>
        <v>0.18515000000000001</v>
      </c>
      <c r="AO40">
        <f>MAX($E17:AO17)</f>
        <v>0.21818000000000001</v>
      </c>
      <c r="AP40">
        <f>MAX($E17:AP17)</f>
        <v>0.21818000000000001</v>
      </c>
      <c r="AQ40">
        <f>MAX($E17:AQ17)</f>
        <v>0.21818000000000001</v>
      </c>
      <c r="AR40">
        <f>MAX($E17:AR17)</f>
        <v>0.33461999999999897</v>
      </c>
      <c r="AS40">
        <f>MAX($E17:AS17)</f>
        <v>0.35127750000000102</v>
      </c>
      <c r="AT40">
        <f>MAX($E17:AT17)</f>
        <v>0.35127750000000102</v>
      </c>
      <c r="AU40">
        <f>MAX($E17:AU17)</f>
        <v>0.35127750000000102</v>
      </c>
      <c r="AV40">
        <f>MAX($E17:AV17)</f>
        <v>0.36525750000000001</v>
      </c>
      <c r="AW40">
        <f>MAX($E17:AW17)</f>
        <v>0.446507499999999</v>
      </c>
      <c r="AX40">
        <f>MAX($E17:AX17)</f>
        <v>0.446507499999999</v>
      </c>
      <c r="AY40">
        <f>MAX($E17:AY17)</f>
        <v>0.481367499999999</v>
      </c>
      <c r="AZ40">
        <f>MAX($E17:AZ17)</f>
        <v>0.483325000000001</v>
      </c>
      <c r="BA40">
        <f>MAX($E17:BA17)</f>
        <v>0.50272249999999996</v>
      </c>
      <c r="BB40">
        <f>MAX($E17:BB17)</f>
        <v>0.52081999999999895</v>
      </c>
      <c r="BC40">
        <f>MAX($E17:BC17)</f>
        <v>0.57586499999999996</v>
      </c>
      <c r="BD40">
        <f>MAX($E17:BD17)</f>
        <v>0.67102499999999798</v>
      </c>
      <c r="BE40">
        <f>MAX($E17:BE17)</f>
        <v>0.67102499999999798</v>
      </c>
      <c r="BF40">
        <f>MAX($E17:BF17)</f>
        <v>0.69671000000000005</v>
      </c>
      <c r="BG40">
        <f>MAX($E17:BG17)</f>
        <v>0.69671000000000005</v>
      </c>
      <c r="BH40">
        <f>MAX($E17:BH17)</f>
        <v>0.69671000000000005</v>
      </c>
      <c r="BI40">
        <f>MAX($E17:BI17)</f>
        <v>0.88839000000000001</v>
      </c>
      <c r="BJ40">
        <f>MAX($E17:BJ17)</f>
        <v>0.88839000000000001</v>
      </c>
      <c r="BK40">
        <f>MAX($E17:BK17)</f>
        <v>0.88839000000000001</v>
      </c>
      <c r="BL40">
        <f>MAX($E17:BL17)</f>
        <v>0.88839000000000001</v>
      </c>
      <c r="BM40">
        <f>MAX($E17:BM17)</f>
        <v>0.88839000000000001</v>
      </c>
      <c r="BN40">
        <f>MAX($E17:BN17)</f>
        <v>0.88839000000000001</v>
      </c>
      <c r="BO40">
        <f>MAX($E17:BO17)</f>
        <v>0.88839000000000001</v>
      </c>
      <c r="BP40">
        <f>MAX($E17:BP17)</f>
        <v>0.88839000000000001</v>
      </c>
      <c r="BQ40">
        <f>MAX($E17:BQ17)</f>
        <v>1.2418075</v>
      </c>
      <c r="BR40">
        <f>MAX($E17:BR17)</f>
        <v>1.31691</v>
      </c>
      <c r="BS40">
        <f>MAX($E17:BS17)</f>
        <v>1.31691</v>
      </c>
      <c r="BT40">
        <f>MAX($E17:BT17)</f>
        <v>1.31691</v>
      </c>
      <c r="BU40">
        <f>MAX($E17:BU17)</f>
        <v>1.31691</v>
      </c>
      <c r="BV40">
        <f>MAX($E17:BV17)</f>
        <v>1.33907</v>
      </c>
      <c r="BW40">
        <f>MAX($E17:BW17)</f>
        <v>1.35768</v>
      </c>
      <c r="BX40">
        <f>MAX($E17:BX17)</f>
        <v>1.4782275</v>
      </c>
      <c r="BY40">
        <f>MAX($E17:BY17)</f>
        <v>1.4782275</v>
      </c>
      <c r="BZ40">
        <f>MAX($E17:BZ17)</f>
        <v>1.52108</v>
      </c>
      <c r="CA40">
        <f>MAX($E17:CA17)</f>
        <v>1.52108</v>
      </c>
      <c r="CB40">
        <f>MAX($E17:CB17)</f>
        <v>1.526915</v>
      </c>
      <c r="CC40">
        <f>MAX($E17:CC17)</f>
        <v>1.6044575000000001</v>
      </c>
    </row>
    <row r="47" spans="1:82" x14ac:dyDescent="0.25">
      <c r="D47" s="2" t="s">
        <v>1</v>
      </c>
      <c r="E47">
        <f>MAX(E26:E45)</f>
        <v>0</v>
      </c>
      <c r="F47">
        <f t="shared" ref="F47:BQ47" si="7">MAX(F26:F45)</f>
        <v>2.8657249999999999E-2</v>
      </c>
      <c r="G47">
        <f t="shared" si="7"/>
        <v>2.8657249999999999E-2</v>
      </c>
      <c r="H47">
        <f t="shared" si="7"/>
        <v>2.8657249999999999E-2</v>
      </c>
      <c r="I47">
        <f t="shared" si="7"/>
        <v>3.0153249999999899E-2</v>
      </c>
      <c r="J47">
        <f t="shared" si="7"/>
        <v>3.0153249999999899E-2</v>
      </c>
      <c r="K47">
        <f t="shared" si="7"/>
        <v>3.0153249999999899E-2</v>
      </c>
      <c r="L47">
        <f t="shared" si="7"/>
        <v>0.10399875</v>
      </c>
      <c r="M47">
        <f t="shared" si="7"/>
        <v>0.10399875</v>
      </c>
      <c r="N47">
        <f t="shared" si="7"/>
        <v>0.10399875</v>
      </c>
      <c r="O47">
        <f t="shared" si="7"/>
        <v>0.15927674999999999</v>
      </c>
      <c r="P47">
        <f t="shared" si="7"/>
        <v>0.15927674999999999</v>
      </c>
      <c r="Q47">
        <f t="shared" si="7"/>
        <v>0.15927674999999999</v>
      </c>
      <c r="R47">
        <f t="shared" si="7"/>
        <v>0.15927674999999999</v>
      </c>
      <c r="S47">
        <f t="shared" si="7"/>
        <v>0.15927674999999999</v>
      </c>
      <c r="T47">
        <f t="shared" si="7"/>
        <v>0.15927674999999999</v>
      </c>
      <c r="U47">
        <f t="shared" si="7"/>
        <v>0.26008500000000001</v>
      </c>
      <c r="V47">
        <f t="shared" si="7"/>
        <v>0.36847750000000001</v>
      </c>
      <c r="W47">
        <f t="shared" si="7"/>
        <v>0.3787625</v>
      </c>
      <c r="X47">
        <f t="shared" si="7"/>
        <v>0.7063275</v>
      </c>
      <c r="Y47">
        <f t="shared" si="7"/>
        <v>0.9544975</v>
      </c>
      <c r="Z47">
        <f t="shared" si="7"/>
        <v>1.0243225</v>
      </c>
      <c r="AA47">
        <f t="shared" si="7"/>
        <v>1.0243225</v>
      </c>
      <c r="AB47">
        <f t="shared" si="7"/>
        <v>1.0775375</v>
      </c>
      <c r="AC47">
        <f t="shared" si="7"/>
        <v>1.1540600000000001</v>
      </c>
      <c r="AD47">
        <f t="shared" si="7"/>
        <v>1.1933175</v>
      </c>
      <c r="AE47">
        <f t="shared" si="7"/>
        <v>1.3963975</v>
      </c>
      <c r="AF47">
        <f t="shared" si="7"/>
        <v>1.47997</v>
      </c>
      <c r="AG47">
        <f t="shared" si="7"/>
        <v>1.47997</v>
      </c>
      <c r="AH47">
        <f t="shared" si="7"/>
        <v>1.47997</v>
      </c>
      <c r="AI47">
        <f t="shared" si="7"/>
        <v>1.47997</v>
      </c>
      <c r="AJ47">
        <f t="shared" si="7"/>
        <v>1.47997</v>
      </c>
      <c r="AK47">
        <f t="shared" si="7"/>
        <v>1.5713200000000001</v>
      </c>
      <c r="AL47">
        <f t="shared" si="7"/>
        <v>1.5713200000000001</v>
      </c>
      <c r="AM47">
        <f t="shared" si="7"/>
        <v>1.5713200000000001</v>
      </c>
      <c r="AN47">
        <f t="shared" si="7"/>
        <v>1.572235</v>
      </c>
      <c r="AO47">
        <f t="shared" si="7"/>
        <v>1.6449849999999999</v>
      </c>
      <c r="AP47">
        <f t="shared" si="7"/>
        <v>1.6696850000000001</v>
      </c>
      <c r="AQ47">
        <f t="shared" si="7"/>
        <v>1.672185</v>
      </c>
      <c r="AR47">
        <f t="shared" si="7"/>
        <v>1.7637674999999999</v>
      </c>
      <c r="AS47">
        <f t="shared" si="7"/>
        <v>1.8365899999999999</v>
      </c>
      <c r="AT47">
        <f t="shared" si="7"/>
        <v>1.8365899999999999</v>
      </c>
      <c r="AU47">
        <f t="shared" si="7"/>
        <v>1.8365899999999999</v>
      </c>
      <c r="AV47">
        <f t="shared" si="7"/>
        <v>1.8365899999999999</v>
      </c>
      <c r="AW47">
        <f t="shared" si="7"/>
        <v>1.8365899999999999</v>
      </c>
      <c r="AX47">
        <f t="shared" si="7"/>
        <v>1.8365899999999999</v>
      </c>
      <c r="AY47">
        <f t="shared" si="7"/>
        <v>1.9121575</v>
      </c>
      <c r="AZ47">
        <f t="shared" si="7"/>
        <v>1.9121575</v>
      </c>
      <c r="BA47">
        <f t="shared" si="7"/>
        <v>1.9267675</v>
      </c>
      <c r="BB47">
        <f t="shared" si="7"/>
        <v>1.9956125</v>
      </c>
      <c r="BC47">
        <f t="shared" si="7"/>
        <v>2.0128575</v>
      </c>
      <c r="BD47">
        <f t="shared" si="7"/>
        <v>2.0168175000000002</v>
      </c>
      <c r="BE47">
        <f t="shared" si="7"/>
        <v>2.0168175000000002</v>
      </c>
      <c r="BF47">
        <f t="shared" si="7"/>
        <v>2.0168175000000002</v>
      </c>
      <c r="BG47">
        <f t="shared" si="7"/>
        <v>2.0168175000000002</v>
      </c>
      <c r="BH47">
        <f t="shared" si="7"/>
        <v>2.0168175000000002</v>
      </c>
      <c r="BI47">
        <f t="shared" si="7"/>
        <v>2.0634225000000002</v>
      </c>
      <c r="BJ47">
        <f t="shared" si="7"/>
        <v>2.0634225000000002</v>
      </c>
      <c r="BK47">
        <f t="shared" si="7"/>
        <v>2.0634225000000002</v>
      </c>
      <c r="BL47">
        <f t="shared" si="7"/>
        <v>2.0634225000000002</v>
      </c>
      <c r="BM47">
        <f t="shared" si="7"/>
        <v>2.0634225000000002</v>
      </c>
      <c r="BN47">
        <f t="shared" si="7"/>
        <v>2.0634225000000002</v>
      </c>
      <c r="BO47">
        <f t="shared" si="7"/>
        <v>2.0634225000000002</v>
      </c>
      <c r="BP47">
        <f t="shared" si="7"/>
        <v>2.0634225000000002</v>
      </c>
      <c r="BQ47">
        <f t="shared" si="7"/>
        <v>2.0634225000000002</v>
      </c>
      <c r="BR47">
        <f t="shared" ref="BR47:CC47" si="8">MAX(BR26:BR45)</f>
        <v>2.0811783333333298</v>
      </c>
      <c r="BS47">
        <f t="shared" si="8"/>
        <v>2.0811783333333298</v>
      </c>
      <c r="BT47">
        <f t="shared" si="8"/>
        <v>2.0811783333333298</v>
      </c>
      <c r="BU47">
        <f t="shared" si="8"/>
        <v>2.0811783333333298</v>
      </c>
      <c r="BV47">
        <f t="shared" si="8"/>
        <v>2.1084774999999998</v>
      </c>
      <c r="BW47">
        <f t="shared" si="8"/>
        <v>2.1280975</v>
      </c>
      <c r="BX47">
        <f t="shared" si="8"/>
        <v>2.2093266666666702</v>
      </c>
      <c r="BY47">
        <f t="shared" si="8"/>
        <v>2.2093266666666702</v>
      </c>
      <c r="BZ47">
        <f t="shared" si="8"/>
        <v>2.24303083333333</v>
      </c>
      <c r="CA47">
        <f t="shared" si="8"/>
        <v>2.24303083333333</v>
      </c>
      <c r="CB47">
        <f t="shared" si="8"/>
        <v>2.3635475000000001</v>
      </c>
      <c r="CC47">
        <f t="shared" si="8"/>
        <v>2.3635475000000001</v>
      </c>
      <c r="CD47">
        <v>10</v>
      </c>
    </row>
    <row r="48" spans="1:82" x14ac:dyDescent="0.25">
      <c r="D48" s="2" t="s">
        <v>38</v>
      </c>
      <c r="E48" s="8" cm="1">
        <f t="array" ref="E48">MAX($C26:$C45*E26:E45)</f>
        <v>0</v>
      </c>
      <c r="F48" s="8" cm="1">
        <f t="array" ref="F48">MAX($C26:$C45*F26:F45)</f>
        <v>9.5339671934070915E-3</v>
      </c>
      <c r="G48" s="8" cm="1">
        <f t="array" ref="G48">MAX($C26:$C45*G26:G45)</f>
        <v>9.5339671934070915E-3</v>
      </c>
      <c r="H48" s="8" cm="1">
        <f t="array" ref="H48">MAX($C26:$C45*H26:H45)</f>
        <v>9.5339671934070915E-3</v>
      </c>
      <c r="I48" s="8" cm="1">
        <f t="array" ref="I48">MAX($C26:$C45*I26:I45)</f>
        <v>1.0031670738629889E-2</v>
      </c>
      <c r="J48" s="8" cm="1">
        <f t="array" ref="J48">MAX($C26:$C45*J26:J45)</f>
        <v>1.0031670738629889E-2</v>
      </c>
      <c r="K48" s="8" cm="1">
        <f t="array" ref="K48">MAX($C26:$C45*K26:K45)</f>
        <v>1.0031670738629889E-2</v>
      </c>
      <c r="L48" s="8" cm="1">
        <f t="array" ref="L48">MAX($C26:$C45*L26:L45)</f>
        <v>3.9251192475924415E-2</v>
      </c>
      <c r="M48" s="8" cm="1">
        <f t="array" ref="M48">MAX($C26:$C45*M26:M45)</f>
        <v>3.9251192475924415E-2</v>
      </c>
      <c r="N48" s="8" cm="1">
        <f t="array" ref="N48">MAX($C26:$C45*N26:N45)</f>
        <v>3.9251192475924415E-2</v>
      </c>
      <c r="O48" s="8" cm="1">
        <f t="array" ref="O48">MAX($C26:$C45*O26:O45)</f>
        <v>7.9275971957506575E-2</v>
      </c>
      <c r="P48" s="8" cm="1">
        <f t="array" ref="P48">MAX($C26:$C45*P26:P45)</f>
        <v>8.6828184667418207E-2</v>
      </c>
      <c r="Q48" s="8" cm="1">
        <f t="array" ref="Q48">MAX($C26:$C45*Q26:Q45)</f>
        <v>8.6828184667418207E-2</v>
      </c>
      <c r="R48" s="8" cm="1">
        <f t="array" ref="R48">MAX($C26:$C45*R26:R45)</f>
        <v>8.6828184667418207E-2</v>
      </c>
      <c r="S48" s="8" cm="1">
        <f t="array" ref="S48">MAX($C26:$C45*S26:S45)</f>
        <v>8.6828184667418207E-2</v>
      </c>
      <c r="T48" s="8" cm="1">
        <f t="array" ref="T48">MAX($C26:$C45*T26:T45)</f>
        <v>8.6828184667418207E-2</v>
      </c>
      <c r="U48" s="8" cm="1">
        <f t="array" ref="U48">MAX($C26:$C45*U26:U45)</f>
        <v>8.6828184667418207E-2</v>
      </c>
      <c r="V48" s="8" cm="1">
        <f t="array" ref="V48">MAX($C26:$C45*V26:V45)</f>
        <v>0.12258860834548541</v>
      </c>
      <c r="W48" s="8" cm="1">
        <f t="array" ref="W48">MAX($C26:$C45*W26:W45)</f>
        <v>0.12601032021889239</v>
      </c>
      <c r="X48" s="8" cm="1">
        <f t="array" ref="X48">MAX($C26:$C45*X26:X45)</f>
        <v>0.2349877679400936</v>
      </c>
      <c r="Y48" s="8" cm="1">
        <f t="array" ref="Y48">MAX($C26:$C45*Y26:Y45)</f>
        <v>0.31755132998417801</v>
      </c>
      <c r="Z48" s="8" cm="1">
        <f t="array" ref="Z48">MAX($C26:$C45*Z26:Z45)</f>
        <v>0.34078137680582526</v>
      </c>
      <c r="AA48" s="8" cm="1">
        <f t="array" ref="AA48">MAX($C26:$C45*AA26:AA45)</f>
        <v>0.34078137680582526</v>
      </c>
      <c r="AB48" s="8" cm="1">
        <f t="array" ref="AB48">MAX($C26:$C45*AB26:AB45)</f>
        <v>0.35848545044154251</v>
      </c>
      <c r="AC48" s="8" cm="1">
        <f t="array" ref="AC48">MAX($C26:$C45*AC26:AC45)</f>
        <v>0.38394368542771512</v>
      </c>
      <c r="AD48" s="8" cm="1">
        <f t="array" ref="AD48">MAX($C26:$C45*AD26:AD45)</f>
        <v>0.39700424487061975</v>
      </c>
      <c r="AE48" s="8" cm="1">
        <f t="array" ref="AE48">MAX($C26:$C45*AE26:AE45)</f>
        <v>0.46456683575554802</v>
      </c>
      <c r="AF48" s="8" cm="1">
        <f t="array" ref="AF48">MAX($C26:$C45*AF26:AF45)</f>
        <v>0.49237053196753677</v>
      </c>
      <c r="AG48" s="8" cm="1">
        <f t="array" ref="AG48">MAX($C26:$C45*AG26:AG45)</f>
        <v>0.49237053196753677</v>
      </c>
      <c r="AH48" s="8" cm="1">
        <f t="array" ref="AH48">MAX($C26:$C45*AH26:AH45)</f>
        <v>0.49237053196753677</v>
      </c>
      <c r="AI48" s="8" cm="1">
        <f t="array" ref="AI48">MAX($C26:$C45*AI26:AI45)</f>
        <v>0.49237053196753677</v>
      </c>
      <c r="AJ48" s="8" cm="1">
        <f t="array" ref="AJ48">MAX($C26:$C45*AJ26:AJ45)</f>
        <v>0.49237053196753677</v>
      </c>
      <c r="AK48" s="8" cm="1">
        <f t="array" ref="AK48">MAX($C26:$C45*AK26:AK45)</f>
        <v>0.52276172104247376</v>
      </c>
      <c r="AL48" s="8" cm="1">
        <f t="array" ref="AL48">MAX($C26:$C45*AL26:AL45)</f>
        <v>0.52276172104247376</v>
      </c>
      <c r="AM48" s="8" cm="1">
        <f t="array" ref="AM48">MAX($C26:$C45*AM26:AM45)</f>
        <v>0.52276172104247376</v>
      </c>
      <c r="AN48" s="8" cm="1">
        <f t="array" ref="AN48">MAX($C26:$C45*AN26:AN45)</f>
        <v>0.52306613196752649</v>
      </c>
      <c r="AO48" s="8" cm="1">
        <f t="array" ref="AO48">MAX($C26:$C45*AO26:AO45)</f>
        <v>0.54726929568073568</v>
      </c>
      <c r="AP48" s="8" cm="1">
        <f t="array" ref="AP48">MAX($C26:$C45*AP26:AP45)</f>
        <v>0.55548672720948178</v>
      </c>
      <c r="AQ48" s="8" cm="1">
        <f t="array" ref="AQ48">MAX($C26:$C45*AQ26:AQ45)</f>
        <v>0.55631845104842359</v>
      </c>
      <c r="AR48" s="8" cm="1">
        <f t="array" ref="AR48">MAX($C26:$C45*AR26:AR45)</f>
        <v>0.58678699044038218</v>
      </c>
      <c r="AS48" s="8" cm="1">
        <f t="array" ref="AS48">MAX($C26:$C45*AS26:AS45)</f>
        <v>0.61101427414492071</v>
      </c>
      <c r="AT48" s="8" cm="1">
        <f t="array" ref="AT48">MAX($C26:$C45*AT26:AT45)</f>
        <v>0.61101427414492071</v>
      </c>
      <c r="AU48" s="8" cm="1">
        <f t="array" ref="AU48">MAX($C26:$C45*AU26:AU45)</f>
        <v>0.61101427414492071</v>
      </c>
      <c r="AV48" s="8" cm="1">
        <f t="array" ref="AV48">MAX($C26:$C45*AV26:AV45)</f>
        <v>0.61101427414492071</v>
      </c>
      <c r="AW48" s="8" cm="1">
        <f t="array" ref="AW48">MAX($C26:$C45*AW26:AW45)</f>
        <v>0.61101427414492071</v>
      </c>
      <c r="AX48" s="8" cm="1">
        <f t="array" ref="AX48">MAX($C26:$C45*AX26:AX45)</f>
        <v>0.61838675457397008</v>
      </c>
      <c r="AY48" s="8" cm="1">
        <f t="array" ref="AY48">MAX($C26:$C45*AY26:AY45)</f>
        <v>0.67113859497066608</v>
      </c>
      <c r="AZ48" s="8" cm="1">
        <f t="array" ref="AZ48">MAX($C26:$C45*AZ26:AZ45)</f>
        <v>0.67257867131625204</v>
      </c>
      <c r="BA48" s="8" cm="1">
        <f t="array" ref="BA48">MAX($C26:$C45*BA26:BA45)</f>
        <v>0.67802738805656071</v>
      </c>
      <c r="BB48" s="8" cm="1">
        <f t="array" ref="BB48">MAX($C26:$C45*BB26:BB45)</f>
        <v>0.70242466202805209</v>
      </c>
      <c r="BC48" s="8" cm="1">
        <f t="array" ref="BC48">MAX($C26:$C45*BC26:BC45)</f>
        <v>0.75058319570171195</v>
      </c>
      <c r="BD48" s="8" cm="1">
        <f t="array" ref="BD48">MAX($C26:$C45*BD26:BD45)</f>
        <v>0.80826093743934657</v>
      </c>
      <c r="BE48" s="8" cm="1">
        <f t="array" ref="BE48">MAX($C26:$C45*BE26:BE45)</f>
        <v>0.80826093743934657</v>
      </c>
      <c r="BF48" s="8" cm="1">
        <f t="array" ref="BF48">MAX($C26:$C45*BF26:BF45)</f>
        <v>0.83497353675090491</v>
      </c>
      <c r="BG48" s="8" cm="1">
        <f t="array" ref="BG48">MAX($C26:$C45*BG26:BG45)</f>
        <v>0.83497353675090491</v>
      </c>
      <c r="BH48" s="8" cm="1">
        <f t="array" ref="BH48">MAX($C26:$C45*BH26:BH45)</f>
        <v>0.83497353675090491</v>
      </c>
      <c r="BI48" s="8" cm="1">
        <f t="array" ref="BI48">MAX($C26:$C45*BI26:BI45)</f>
        <v>0.9067649602742095</v>
      </c>
      <c r="BJ48" s="8" cm="1">
        <f t="array" ref="BJ48">MAX($C26:$C45*BJ26:BJ45)</f>
        <v>0.9067649602742095</v>
      </c>
      <c r="BK48" s="8" cm="1">
        <f t="array" ref="BK48">MAX($C26:$C45*BK26:BK45)</f>
        <v>0.9067649602742095</v>
      </c>
      <c r="BL48" s="8" cm="1">
        <f t="array" ref="BL48">MAX($C26:$C45*BL26:BL45)</f>
        <v>0.9067649602742095</v>
      </c>
      <c r="BM48" s="8" cm="1">
        <f t="array" ref="BM48">MAX($C26:$C45*BM26:BM45)</f>
        <v>0.9067649602742095</v>
      </c>
      <c r="BN48" s="8" cm="1">
        <f t="array" ref="BN48">MAX($C26:$C45*BN26:BN45)</f>
        <v>0.9067649602742095</v>
      </c>
      <c r="BO48" s="8" cm="1">
        <f t="array" ref="BO48">MAX($C26:$C45*BO26:BO45)</f>
        <v>0.9067649602742095</v>
      </c>
      <c r="BP48" s="8" cm="1">
        <f t="array" ref="BP48">MAX($C26:$C45*BP26:BP45)</f>
        <v>0.9067649602742095</v>
      </c>
      <c r="BQ48" s="8" cm="1">
        <f t="array" ref="BQ48">MAX($C26:$C45*BQ26:BQ45)</f>
        <v>0.93305082707601261</v>
      </c>
      <c r="BR48" s="8" cm="1">
        <f t="array" ref="BR48">MAX($C26:$C45*BR26:BR45)</f>
        <v>0.95632817133412462</v>
      </c>
      <c r="BS48" s="8" cm="1">
        <f t="array" ref="BS48">MAX($C26:$C45*BS26:BS45)</f>
        <v>0.95632817133412462</v>
      </c>
      <c r="BT48" s="8" cm="1">
        <f t="array" ref="BT48">MAX($C26:$C45*BT26:BT45)</f>
        <v>0.95632817133412462</v>
      </c>
      <c r="BU48" s="8" cm="1">
        <f t="array" ref="BU48">MAX($C26:$C45*BU26:BU45)</f>
        <v>0.95789817353044537</v>
      </c>
      <c r="BV48" s="8" cm="1">
        <f t="array" ref="BV48">MAX($C26:$C45*BV26:BV45)</f>
        <v>0.98323332542446862</v>
      </c>
      <c r="BW48" s="8" cm="1">
        <f t="array" ref="BW48">MAX($C26:$C45*BW26:BW45)</f>
        <v>0.99241254787902855</v>
      </c>
      <c r="BX48" s="8" cm="1">
        <f t="array" ref="BX48">MAX($C26:$C45*BX26:BX45)</f>
        <v>1.0313125031892958</v>
      </c>
      <c r="BY48" s="8" cm="1">
        <f t="array" ref="BY48">MAX($C26:$C45*BY26:BY45)</f>
        <v>1.0313125031892958</v>
      </c>
      <c r="BZ48" s="8" cm="1">
        <f t="array" ref="BZ48">MAX($C26:$C45*BZ26:BZ45)</f>
        <v>1.0470455901145288</v>
      </c>
      <c r="CA48" s="8" cm="1">
        <f t="array" ref="CA48">MAX($C26:$C45*CA26:CA45)</f>
        <v>1.0470455901145288</v>
      </c>
      <c r="CB48" s="8" cm="1">
        <f t="array" ref="CB48">MAX($C26:$C45*CB26:CB45)</f>
        <v>1.1033027054842341</v>
      </c>
      <c r="CC48" s="8" cm="1">
        <f t="array" ref="CC48">MAX($C26:$C45*CC26:CC45)</f>
        <v>1.1033027054842341</v>
      </c>
      <c r="CD48">
        <v>10</v>
      </c>
    </row>
    <row r="49" spans="1:82" x14ac:dyDescent="0.25">
      <c r="D49" s="2" t="s">
        <v>32</v>
      </c>
      <c r="E49">
        <f>MAX($E25:$CC25)/E25</f>
        <v>5.9814815213333334</v>
      </c>
      <c r="F49">
        <f t="shared" ref="F49:BQ49" si="9">MAX($E25:$CC25)/F25</f>
        <v>3.1359223390555191</v>
      </c>
      <c r="G49">
        <f t="shared" si="9"/>
        <v>3.0761904847325168</v>
      </c>
      <c r="H49">
        <f t="shared" si="9"/>
        <v>3.0761904847325168</v>
      </c>
      <c r="I49">
        <f t="shared" si="9"/>
        <v>2.0974026004810256</v>
      </c>
      <c r="J49">
        <f t="shared" si="9"/>
        <v>2.0974026004810256</v>
      </c>
      <c r="K49">
        <f t="shared" si="9"/>
        <v>2.0974026004810256</v>
      </c>
      <c r="L49">
        <f t="shared" si="9"/>
        <v>1.8044692756845293</v>
      </c>
      <c r="M49">
        <f t="shared" si="9"/>
        <v>1.8044692756845293</v>
      </c>
      <c r="N49">
        <f t="shared" si="9"/>
        <v>1.8044692756845293</v>
      </c>
      <c r="O49">
        <f t="shared" si="9"/>
        <v>1.5990099022711499</v>
      </c>
      <c r="P49">
        <f t="shared" si="9"/>
        <v>1.5833333345686276</v>
      </c>
      <c r="Q49">
        <f t="shared" si="9"/>
        <v>1.5833333345686276</v>
      </c>
      <c r="R49">
        <f t="shared" si="9"/>
        <v>1.5679611662396078</v>
      </c>
      <c r="S49">
        <f t="shared" si="9"/>
        <v>1.5679611662396078</v>
      </c>
      <c r="T49">
        <f t="shared" si="9"/>
        <v>1.5679611662396078</v>
      </c>
      <c r="U49">
        <f t="shared" si="9"/>
        <v>1.5679611662396078</v>
      </c>
      <c r="V49">
        <f t="shared" si="9"/>
        <v>1.5679611662396078</v>
      </c>
      <c r="W49">
        <f t="shared" si="9"/>
        <v>1.5679611662396078</v>
      </c>
      <c r="X49">
        <f t="shared" si="9"/>
        <v>1.5679611662396078</v>
      </c>
      <c r="Y49">
        <f t="shared" si="9"/>
        <v>1.5679611662396078</v>
      </c>
      <c r="Z49">
        <f t="shared" si="9"/>
        <v>1.5679611662396078</v>
      </c>
      <c r="AA49">
        <f t="shared" si="9"/>
        <v>1.5679611662396078</v>
      </c>
      <c r="AB49">
        <f t="shared" si="9"/>
        <v>1.5164319259300403</v>
      </c>
      <c r="AC49">
        <f t="shared" si="9"/>
        <v>1.5164319259300403</v>
      </c>
      <c r="AD49">
        <f t="shared" si="9"/>
        <v>1.5164319259300403</v>
      </c>
      <c r="AE49">
        <f t="shared" si="9"/>
        <v>1.4104803501193341</v>
      </c>
      <c r="AF49">
        <f t="shared" si="9"/>
        <v>1.4104803501193341</v>
      </c>
      <c r="AG49">
        <f t="shared" si="9"/>
        <v>1.4104803501193341</v>
      </c>
      <c r="AH49">
        <f t="shared" si="9"/>
        <v>1.4104803501193341</v>
      </c>
      <c r="AI49">
        <f t="shared" si="9"/>
        <v>1.4104803501193341</v>
      </c>
      <c r="AJ49">
        <f t="shared" si="9"/>
        <v>1.4104803501193341</v>
      </c>
      <c r="AK49">
        <f t="shared" si="9"/>
        <v>1.4104803501193341</v>
      </c>
      <c r="AL49">
        <f t="shared" si="9"/>
        <v>1.4104803501193341</v>
      </c>
      <c r="AM49">
        <f t="shared" si="9"/>
        <v>1.4043478268464273</v>
      </c>
      <c r="AN49">
        <f t="shared" si="9"/>
        <v>1.3628691989736688</v>
      </c>
      <c r="AO49">
        <f t="shared" si="9"/>
        <v>1.3458333339558335</v>
      </c>
      <c r="AP49">
        <f t="shared" si="9"/>
        <v>1.276679842369667</v>
      </c>
      <c r="AQ49">
        <f t="shared" si="9"/>
        <v>1.2716535437691117</v>
      </c>
      <c r="AR49">
        <f t="shared" si="9"/>
        <v>1.2716535437691117</v>
      </c>
      <c r="AS49">
        <f t="shared" si="9"/>
        <v>1.228136882504012</v>
      </c>
      <c r="AT49">
        <f t="shared" si="9"/>
        <v>1.2234848488505512</v>
      </c>
      <c r="AU49">
        <f t="shared" si="9"/>
        <v>1.2234848488505512</v>
      </c>
      <c r="AV49">
        <f t="shared" si="9"/>
        <v>1.218867924885098</v>
      </c>
      <c r="AW49">
        <f t="shared" si="9"/>
        <v>1.218867924885098</v>
      </c>
      <c r="AX49">
        <f t="shared" si="9"/>
        <v>1.2097378280547071</v>
      </c>
      <c r="AY49">
        <f t="shared" si="9"/>
        <v>1.1618705038486623</v>
      </c>
      <c r="AZ49">
        <f t="shared" si="9"/>
        <v>1.1577060934341543</v>
      </c>
      <c r="BA49">
        <f t="shared" si="9"/>
        <v>1.1577060934341543</v>
      </c>
      <c r="BB49">
        <f t="shared" si="9"/>
        <v>1.1254355402584955</v>
      </c>
      <c r="BC49">
        <f t="shared" si="9"/>
        <v>1.1061643837187092</v>
      </c>
      <c r="BD49">
        <f t="shared" si="9"/>
        <v>1.1061643837187092</v>
      </c>
      <c r="BE49">
        <f t="shared" si="9"/>
        <v>1.1061643837187092</v>
      </c>
      <c r="BF49">
        <f t="shared" si="9"/>
        <v>1.1061643837187092</v>
      </c>
      <c r="BG49">
        <f t="shared" si="9"/>
        <v>1.1061643837187092</v>
      </c>
      <c r="BH49">
        <f t="shared" si="9"/>
        <v>1.1061643837187092</v>
      </c>
      <c r="BI49">
        <f t="shared" si="9"/>
        <v>1.1061643837187092</v>
      </c>
      <c r="BJ49">
        <f t="shared" si="9"/>
        <v>1.1061643837187092</v>
      </c>
      <c r="BK49">
        <f t="shared" si="9"/>
        <v>1.1061643837187092</v>
      </c>
      <c r="BL49">
        <f t="shared" si="9"/>
        <v>1.1061643837187092</v>
      </c>
      <c r="BM49">
        <f t="shared" si="9"/>
        <v>1.1061643837187092</v>
      </c>
      <c r="BN49">
        <f t="shared" si="9"/>
        <v>1.1061643837187092</v>
      </c>
      <c r="BO49">
        <f t="shared" si="9"/>
        <v>1.1061643837187092</v>
      </c>
      <c r="BP49">
        <f t="shared" si="9"/>
        <v>1.1061643837187092</v>
      </c>
      <c r="BQ49">
        <f t="shared" si="9"/>
        <v>1.0660066007541744</v>
      </c>
      <c r="BR49">
        <f t="shared" ref="BR49:CC49" si="10">MAX($E25:$CC25)/BR25</f>
        <v>1.0625000000888158</v>
      </c>
      <c r="BS49">
        <f t="shared" si="10"/>
        <v>1.0625000000888158</v>
      </c>
      <c r="BT49">
        <f t="shared" si="10"/>
        <v>1.0453074434290381</v>
      </c>
      <c r="BU49">
        <f t="shared" si="10"/>
        <v>1.031948881833233</v>
      </c>
      <c r="BV49">
        <f t="shared" si="10"/>
        <v>1.0286624204215993</v>
      </c>
      <c r="BW49">
        <f t="shared" si="10"/>
        <v>1.012539184969959</v>
      </c>
      <c r="BX49">
        <f t="shared" si="10"/>
        <v>1.012539184969959</v>
      </c>
      <c r="BY49">
        <f t="shared" si="10"/>
        <v>1.0031055900662784</v>
      </c>
      <c r="BZ49">
        <f t="shared" si="10"/>
        <v>1.0031055900662784</v>
      </c>
      <c r="CA49">
        <f t="shared" si="10"/>
        <v>1.0031055900662784</v>
      </c>
      <c r="CB49">
        <f t="shared" si="10"/>
        <v>1</v>
      </c>
      <c r="CC49">
        <f t="shared" si="10"/>
        <v>1</v>
      </c>
      <c r="CD49">
        <v>1</v>
      </c>
    </row>
    <row r="50" spans="1:82" x14ac:dyDescent="0.25">
      <c r="D50" s="2" t="s">
        <v>55</v>
      </c>
      <c r="E50" s="8">
        <f>E25/MAX($E25:$CC25)</f>
        <v>0.16718266142483873</v>
      </c>
      <c r="F50" s="8">
        <f t="shared" ref="F50:BQ50" si="11">F25/MAX($E25:$CC25)</f>
        <v>0.31888544800544433</v>
      </c>
      <c r="G50" s="8">
        <f t="shared" si="11"/>
        <v>0.32507739847812211</v>
      </c>
      <c r="H50" s="8">
        <f t="shared" si="11"/>
        <v>0.32507739847812211</v>
      </c>
      <c r="I50" s="8">
        <f t="shared" si="11"/>
        <v>0.47678018505872766</v>
      </c>
      <c r="J50" s="8">
        <f t="shared" si="11"/>
        <v>0.47678018505872766</v>
      </c>
      <c r="K50" s="8">
        <f t="shared" si="11"/>
        <v>0.47678018505872766</v>
      </c>
      <c r="L50" s="8">
        <f t="shared" si="11"/>
        <v>0.55417956596719986</v>
      </c>
      <c r="M50" s="8">
        <f t="shared" si="11"/>
        <v>0.55417956596719986</v>
      </c>
      <c r="N50" s="8">
        <f t="shared" si="11"/>
        <v>0.55417956596719986</v>
      </c>
      <c r="O50" s="8">
        <f t="shared" si="11"/>
        <v>0.62538699640299433</v>
      </c>
      <c r="P50" s="8">
        <f t="shared" si="11"/>
        <v>0.63157894687567218</v>
      </c>
      <c r="Q50" s="8">
        <f t="shared" si="11"/>
        <v>0.63157894687567218</v>
      </c>
      <c r="R50" s="8">
        <f t="shared" si="11"/>
        <v>0.63777089734834991</v>
      </c>
      <c r="S50" s="8">
        <f t="shared" si="11"/>
        <v>0.63777089734834991</v>
      </c>
      <c r="T50" s="8">
        <f t="shared" si="11"/>
        <v>0.63777089734834991</v>
      </c>
      <c r="U50" s="8">
        <f t="shared" si="11"/>
        <v>0.63777089734834991</v>
      </c>
      <c r="V50" s="8">
        <f t="shared" si="11"/>
        <v>0.63777089734834991</v>
      </c>
      <c r="W50" s="8">
        <f t="shared" si="11"/>
        <v>0.63777089734834991</v>
      </c>
      <c r="X50" s="8">
        <f t="shared" si="11"/>
        <v>0.63777089734834991</v>
      </c>
      <c r="Y50" s="8">
        <f t="shared" si="11"/>
        <v>0.63777089734834991</v>
      </c>
      <c r="Z50" s="8">
        <f t="shared" si="11"/>
        <v>0.63777089734834991</v>
      </c>
      <c r="AA50" s="8">
        <f t="shared" si="11"/>
        <v>0.63777089734834991</v>
      </c>
      <c r="AB50" s="8">
        <f t="shared" si="11"/>
        <v>0.65944272400272219</v>
      </c>
      <c r="AC50" s="8">
        <f t="shared" si="11"/>
        <v>0.65944272400272219</v>
      </c>
      <c r="AD50" s="8">
        <f t="shared" si="11"/>
        <v>0.65944272400272219</v>
      </c>
      <c r="AE50" s="8">
        <f t="shared" si="11"/>
        <v>0.70897832778414427</v>
      </c>
      <c r="AF50" s="8">
        <f t="shared" si="11"/>
        <v>0.70897832778414427</v>
      </c>
      <c r="AG50" s="8">
        <f t="shared" si="11"/>
        <v>0.70897832778414427</v>
      </c>
      <c r="AH50" s="8">
        <f t="shared" si="11"/>
        <v>0.70897832778414427</v>
      </c>
      <c r="AI50" s="8">
        <f t="shared" si="11"/>
        <v>0.70897832778414427</v>
      </c>
      <c r="AJ50" s="8">
        <f t="shared" si="11"/>
        <v>0.70897832778414427</v>
      </c>
      <c r="AK50" s="8">
        <f t="shared" si="11"/>
        <v>0.70897832778414427</v>
      </c>
      <c r="AL50" s="8">
        <f t="shared" si="11"/>
        <v>0.70897832778414427</v>
      </c>
      <c r="AM50" s="8">
        <f t="shared" si="11"/>
        <v>0.71207430302048325</v>
      </c>
      <c r="AN50" s="8">
        <f t="shared" si="11"/>
        <v>0.73374612967485553</v>
      </c>
      <c r="AO50" s="8">
        <f t="shared" si="11"/>
        <v>0.74303405538387213</v>
      </c>
      <c r="AP50" s="8">
        <f t="shared" si="11"/>
        <v>0.78328173345627761</v>
      </c>
      <c r="AQ50" s="8">
        <f t="shared" si="11"/>
        <v>0.78637770869261658</v>
      </c>
      <c r="AR50" s="8">
        <f t="shared" si="11"/>
        <v>0.78637770869261658</v>
      </c>
      <c r="AS50" s="8">
        <f t="shared" si="11"/>
        <v>0.8142414858196666</v>
      </c>
      <c r="AT50" s="8">
        <f t="shared" si="11"/>
        <v>0.81733746105600547</v>
      </c>
      <c r="AU50" s="8">
        <f t="shared" si="11"/>
        <v>0.81733746105600547</v>
      </c>
      <c r="AV50" s="8">
        <f t="shared" si="11"/>
        <v>0.82043343629234444</v>
      </c>
      <c r="AW50" s="8">
        <f t="shared" si="11"/>
        <v>0.82043343629234444</v>
      </c>
      <c r="AX50" s="8">
        <f t="shared" si="11"/>
        <v>0.82662538676502206</v>
      </c>
      <c r="AY50" s="8">
        <f t="shared" si="11"/>
        <v>0.86068111436474992</v>
      </c>
      <c r="AZ50" s="8">
        <f t="shared" si="11"/>
        <v>0.8637770896010889</v>
      </c>
      <c r="BA50" s="8">
        <f t="shared" si="11"/>
        <v>0.8637770896010889</v>
      </c>
      <c r="BB50" s="8">
        <f t="shared" si="11"/>
        <v>0.88854489149179994</v>
      </c>
      <c r="BC50" s="8">
        <f t="shared" si="11"/>
        <v>0.90402476767349438</v>
      </c>
      <c r="BD50" s="8">
        <f t="shared" si="11"/>
        <v>0.90402476767349438</v>
      </c>
      <c r="BE50" s="8">
        <f t="shared" si="11"/>
        <v>0.90402476767349438</v>
      </c>
      <c r="BF50" s="8">
        <f t="shared" si="11"/>
        <v>0.90402476767349438</v>
      </c>
      <c r="BG50" s="8">
        <f t="shared" si="11"/>
        <v>0.90402476767349438</v>
      </c>
      <c r="BH50" s="8">
        <f t="shared" si="11"/>
        <v>0.90402476767349438</v>
      </c>
      <c r="BI50" s="8">
        <f t="shared" si="11"/>
        <v>0.90402476767349438</v>
      </c>
      <c r="BJ50" s="8">
        <f t="shared" si="11"/>
        <v>0.90402476767349438</v>
      </c>
      <c r="BK50" s="8">
        <f t="shared" si="11"/>
        <v>0.90402476767349438</v>
      </c>
      <c r="BL50" s="8">
        <f t="shared" si="11"/>
        <v>0.90402476767349438</v>
      </c>
      <c r="BM50" s="8">
        <f t="shared" si="11"/>
        <v>0.90402476767349438</v>
      </c>
      <c r="BN50" s="8">
        <f t="shared" si="11"/>
        <v>0.90402476767349438</v>
      </c>
      <c r="BO50" s="8">
        <f t="shared" si="11"/>
        <v>0.90402476767349438</v>
      </c>
      <c r="BP50" s="8">
        <f t="shared" si="11"/>
        <v>0.90402476767349438</v>
      </c>
      <c r="BQ50" s="8">
        <f t="shared" si="11"/>
        <v>0.93808049527322213</v>
      </c>
      <c r="BR50" s="8">
        <f t="shared" ref="BR50:CC50" si="12">BR25/MAX($E25:$CC25)</f>
        <v>0.94117647050956099</v>
      </c>
      <c r="BS50" s="8">
        <f t="shared" si="12"/>
        <v>0.94117647050956099</v>
      </c>
      <c r="BT50" s="8">
        <f t="shared" si="12"/>
        <v>0.95665634669125554</v>
      </c>
      <c r="BU50" s="8">
        <f t="shared" si="12"/>
        <v>0.96904024763661101</v>
      </c>
      <c r="BV50" s="8">
        <f t="shared" si="12"/>
        <v>0.97213622287294998</v>
      </c>
      <c r="BW50" s="8">
        <f t="shared" si="12"/>
        <v>0.98761609905464443</v>
      </c>
      <c r="BX50" s="8">
        <f t="shared" si="12"/>
        <v>0.98761609905464443</v>
      </c>
      <c r="BY50" s="8">
        <f t="shared" si="12"/>
        <v>0.99690402476366102</v>
      </c>
      <c r="BZ50" s="8">
        <f t="shared" si="12"/>
        <v>0.99690402476366102</v>
      </c>
      <c r="CA50" s="8">
        <f t="shared" si="12"/>
        <v>0.99690402476366102</v>
      </c>
      <c r="CB50" s="8">
        <f t="shared" si="12"/>
        <v>1</v>
      </c>
      <c r="CC50" s="8">
        <f t="shared" si="12"/>
        <v>1</v>
      </c>
    </row>
    <row r="51" spans="1:82" x14ac:dyDescent="0.25">
      <c r="A51" s="2"/>
      <c r="B51" s="2"/>
      <c r="D51" s="2"/>
      <c r="E51" s="2"/>
      <c r="F51" s="2"/>
      <c r="R51" s="6"/>
    </row>
    <row r="52" spans="1:82" x14ac:dyDescent="0.25">
      <c r="R52" s="6"/>
    </row>
  </sheetData>
  <conditionalFormatting sqref="D18:Q21 D3:D17"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:Y22 D3:D17"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1:Y45 E26:CC40"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BH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CC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5F33-C9E2-4D30-8261-4FCC8B359258}">
  <sheetPr codeName="Sheet2"/>
  <dimension ref="A1:BJ51"/>
  <sheetViews>
    <sheetView zoomScaleNormal="100" workbookViewId="0"/>
  </sheetViews>
  <sheetFormatPr defaultRowHeight="15" x14ac:dyDescent="0.25"/>
  <sheetData>
    <row r="1" spans="1:61" x14ac:dyDescent="0.25">
      <c r="D1" s="2" t="s">
        <v>11</v>
      </c>
      <c r="E1">
        <v>0</v>
      </c>
      <c r="F1">
        <v>0</v>
      </c>
      <c r="G1">
        <v>0</v>
      </c>
      <c r="H1">
        <v>49</v>
      </c>
      <c r="I1">
        <v>49</v>
      </c>
      <c r="J1">
        <v>49</v>
      </c>
      <c r="K1">
        <v>100</v>
      </c>
      <c r="L1">
        <v>100</v>
      </c>
      <c r="M1">
        <v>100</v>
      </c>
      <c r="N1">
        <v>92</v>
      </c>
      <c r="O1">
        <v>92</v>
      </c>
      <c r="P1">
        <v>92</v>
      </c>
      <c r="Q1">
        <v>133</v>
      </c>
      <c r="R1">
        <v>134</v>
      </c>
      <c r="S1">
        <v>134</v>
      </c>
      <c r="T1">
        <v>133</v>
      </c>
      <c r="U1">
        <v>132</v>
      </c>
      <c r="V1">
        <v>132</v>
      </c>
      <c r="W1">
        <v>152</v>
      </c>
      <c r="X1">
        <v>152</v>
      </c>
      <c r="Y1">
        <v>152</v>
      </c>
      <c r="Z1">
        <v>174</v>
      </c>
      <c r="AA1">
        <v>174</v>
      </c>
      <c r="AB1">
        <v>174</v>
      </c>
      <c r="AC1">
        <v>200</v>
      </c>
      <c r="AD1">
        <v>200</v>
      </c>
      <c r="AE1">
        <v>200</v>
      </c>
      <c r="AF1">
        <v>225</v>
      </c>
      <c r="AG1">
        <v>225</v>
      </c>
      <c r="AH1">
        <v>225</v>
      </c>
      <c r="AI1">
        <v>247</v>
      </c>
      <c r="AJ1">
        <v>247</v>
      </c>
      <c r="AK1">
        <v>247</v>
      </c>
      <c r="AL1">
        <v>275</v>
      </c>
      <c r="AM1">
        <v>275</v>
      </c>
      <c r="AN1">
        <v>275</v>
      </c>
      <c r="AO1">
        <v>290</v>
      </c>
      <c r="AP1">
        <v>290</v>
      </c>
      <c r="AQ1">
        <v>289</v>
      </c>
      <c r="AR1">
        <v>297</v>
      </c>
      <c r="AS1">
        <v>296</v>
      </c>
      <c r="AT1">
        <v>297</v>
      </c>
      <c r="AU1">
        <v>296</v>
      </c>
      <c r="AV1">
        <v>298</v>
      </c>
      <c r="AW1">
        <v>297</v>
      </c>
      <c r="AX1">
        <v>295</v>
      </c>
      <c r="AY1">
        <v>297</v>
      </c>
      <c r="AZ1">
        <v>297</v>
      </c>
      <c r="BA1">
        <v>300</v>
      </c>
      <c r="BB1">
        <v>300</v>
      </c>
      <c r="BC1">
        <v>300</v>
      </c>
      <c r="BD1">
        <v>304</v>
      </c>
      <c r="BE1">
        <v>305</v>
      </c>
      <c r="BF1">
        <v>306</v>
      </c>
      <c r="BG1">
        <v>305</v>
      </c>
      <c r="BH1">
        <v>305</v>
      </c>
      <c r="BI1">
        <v>304</v>
      </c>
    </row>
    <row r="2" spans="1:61" x14ac:dyDescent="0.25">
      <c r="A2" s="2" t="s">
        <v>10</v>
      </c>
      <c r="B2" s="2" t="s">
        <v>2</v>
      </c>
      <c r="C2" s="2" t="s">
        <v>37</v>
      </c>
      <c r="D2" s="2" t="s">
        <v>33</v>
      </c>
      <c r="E2">
        <f t="shared" ref="E2:BI2" si="0">30+E1/2</f>
        <v>30</v>
      </c>
      <c r="F2">
        <f t="shared" si="0"/>
        <v>30</v>
      </c>
      <c r="G2">
        <f t="shared" si="0"/>
        <v>30</v>
      </c>
      <c r="H2">
        <f t="shared" si="0"/>
        <v>54.5</v>
      </c>
      <c r="I2">
        <f t="shared" si="0"/>
        <v>54.5</v>
      </c>
      <c r="J2">
        <f t="shared" si="0"/>
        <v>54.5</v>
      </c>
      <c r="K2">
        <f t="shared" si="0"/>
        <v>80</v>
      </c>
      <c r="L2">
        <f t="shared" si="0"/>
        <v>80</v>
      </c>
      <c r="M2">
        <f t="shared" si="0"/>
        <v>80</v>
      </c>
      <c r="N2">
        <f t="shared" si="0"/>
        <v>76</v>
      </c>
      <c r="O2">
        <f t="shared" si="0"/>
        <v>76</v>
      </c>
      <c r="P2">
        <f t="shared" si="0"/>
        <v>76</v>
      </c>
      <c r="Q2">
        <f t="shared" si="0"/>
        <v>96.5</v>
      </c>
      <c r="R2">
        <f t="shared" si="0"/>
        <v>97</v>
      </c>
      <c r="S2">
        <f t="shared" si="0"/>
        <v>97</v>
      </c>
      <c r="T2">
        <f t="shared" si="0"/>
        <v>96.5</v>
      </c>
      <c r="U2">
        <f t="shared" si="0"/>
        <v>96</v>
      </c>
      <c r="V2">
        <f t="shared" si="0"/>
        <v>96</v>
      </c>
      <c r="W2">
        <f t="shared" si="0"/>
        <v>106</v>
      </c>
      <c r="X2">
        <f t="shared" si="0"/>
        <v>106</v>
      </c>
      <c r="Y2">
        <f t="shared" si="0"/>
        <v>106</v>
      </c>
      <c r="Z2">
        <f t="shared" si="0"/>
        <v>117</v>
      </c>
      <c r="AA2">
        <f t="shared" si="0"/>
        <v>117</v>
      </c>
      <c r="AB2">
        <f t="shared" si="0"/>
        <v>117</v>
      </c>
      <c r="AC2">
        <f t="shared" si="0"/>
        <v>130</v>
      </c>
      <c r="AD2">
        <f t="shared" si="0"/>
        <v>130</v>
      </c>
      <c r="AE2">
        <f t="shared" si="0"/>
        <v>130</v>
      </c>
      <c r="AF2">
        <f t="shared" si="0"/>
        <v>142.5</v>
      </c>
      <c r="AG2">
        <f t="shared" si="0"/>
        <v>142.5</v>
      </c>
      <c r="AH2">
        <f t="shared" si="0"/>
        <v>142.5</v>
      </c>
      <c r="AI2">
        <f t="shared" si="0"/>
        <v>153.5</v>
      </c>
      <c r="AJ2">
        <f t="shared" si="0"/>
        <v>153.5</v>
      </c>
      <c r="AK2">
        <f t="shared" si="0"/>
        <v>153.5</v>
      </c>
      <c r="AL2">
        <f t="shared" si="0"/>
        <v>167.5</v>
      </c>
      <c r="AM2">
        <f t="shared" si="0"/>
        <v>167.5</v>
      </c>
      <c r="AN2">
        <f t="shared" si="0"/>
        <v>167.5</v>
      </c>
      <c r="AO2">
        <f t="shared" si="0"/>
        <v>175</v>
      </c>
      <c r="AP2">
        <f t="shared" si="0"/>
        <v>175</v>
      </c>
      <c r="AQ2">
        <f t="shared" si="0"/>
        <v>174.5</v>
      </c>
      <c r="AR2">
        <f t="shared" si="0"/>
        <v>178.5</v>
      </c>
      <c r="AS2">
        <f t="shared" si="0"/>
        <v>178</v>
      </c>
      <c r="AT2">
        <f t="shared" si="0"/>
        <v>178.5</v>
      </c>
      <c r="AU2">
        <f t="shared" si="0"/>
        <v>178</v>
      </c>
      <c r="AV2">
        <f t="shared" si="0"/>
        <v>179</v>
      </c>
      <c r="AW2">
        <f t="shared" si="0"/>
        <v>178.5</v>
      </c>
      <c r="AX2">
        <f t="shared" si="0"/>
        <v>177.5</v>
      </c>
      <c r="AY2">
        <f t="shared" si="0"/>
        <v>178.5</v>
      </c>
      <c r="AZ2">
        <f t="shared" si="0"/>
        <v>178.5</v>
      </c>
      <c r="BA2">
        <f t="shared" si="0"/>
        <v>180</v>
      </c>
      <c r="BB2">
        <f t="shared" si="0"/>
        <v>180</v>
      </c>
      <c r="BC2">
        <f t="shared" si="0"/>
        <v>180</v>
      </c>
      <c r="BD2">
        <f t="shared" si="0"/>
        <v>182</v>
      </c>
      <c r="BE2">
        <f t="shared" si="0"/>
        <v>182.5</v>
      </c>
      <c r="BF2">
        <f t="shared" si="0"/>
        <v>183</v>
      </c>
      <c r="BG2">
        <f t="shared" si="0"/>
        <v>182.5</v>
      </c>
      <c r="BH2">
        <f t="shared" si="0"/>
        <v>182.5</v>
      </c>
      <c r="BI2">
        <f t="shared" si="0"/>
        <v>182</v>
      </c>
    </row>
    <row r="3" spans="1:61" x14ac:dyDescent="0.25">
      <c r="A3">
        <v>3.3132987910190002</v>
      </c>
      <c r="B3">
        <f>1.158*A3</f>
        <v>3.836800000000002</v>
      </c>
      <c r="C3">
        <f>1/A3</f>
        <v>0.30181401167639682</v>
      </c>
      <c r="E3">
        <v>0</v>
      </c>
      <c r="F3">
        <v>2.5575082499999999E-3</v>
      </c>
      <c r="G3">
        <v>-1.3864019999999999E-3</v>
      </c>
      <c r="H3">
        <v>2.9159500000000099E-2</v>
      </c>
      <c r="I3">
        <v>1.8232749999999999E-2</v>
      </c>
      <c r="J3">
        <v>3.3911999999999901E-2</v>
      </c>
      <c r="K3">
        <v>3.5939500000000103E-2</v>
      </c>
      <c r="L3">
        <v>4.7690499999999997E-2</v>
      </c>
      <c r="M3">
        <v>4.3513749999999997E-2</v>
      </c>
      <c r="N3">
        <v>8.8887749999999904E-2</v>
      </c>
      <c r="O3">
        <v>8.2978250000000003E-2</v>
      </c>
      <c r="P3">
        <v>8.5684500000000205E-2</v>
      </c>
      <c r="Q3">
        <v>0.29649199999999998</v>
      </c>
      <c r="R3">
        <v>0.30921399999999999</v>
      </c>
      <c r="S3">
        <v>0.29514774999999999</v>
      </c>
      <c r="T3">
        <v>0.57692500000000002</v>
      </c>
      <c r="U3">
        <v>0.59200050000000004</v>
      </c>
      <c r="V3">
        <v>0.58467975000000005</v>
      </c>
      <c r="W3">
        <v>0.93832475000000004</v>
      </c>
      <c r="X3">
        <v>0.95066399999999995</v>
      </c>
      <c r="Y3">
        <v>0.95246500000000001</v>
      </c>
      <c r="Z3">
        <v>1.0443677499999999</v>
      </c>
      <c r="AA3">
        <v>1.0347495</v>
      </c>
      <c r="AB3">
        <v>1.0350317499999999</v>
      </c>
      <c r="AC3">
        <v>1.1792180000000001</v>
      </c>
      <c r="AD3">
        <v>1.182072</v>
      </c>
      <c r="AE3">
        <v>1.181505</v>
      </c>
      <c r="AF3">
        <v>1.3597524999999999</v>
      </c>
      <c r="AG3">
        <v>1.3488074999999999</v>
      </c>
      <c r="AH3">
        <v>1.3549249999999999</v>
      </c>
      <c r="AI3">
        <v>1.5193175000000001</v>
      </c>
      <c r="AJ3">
        <v>1.5223225</v>
      </c>
      <c r="AK3">
        <v>1.5217375</v>
      </c>
      <c r="AL3">
        <v>1.7078225</v>
      </c>
      <c r="AM3">
        <v>1.7014750000000001</v>
      </c>
      <c r="AN3">
        <v>1.710475</v>
      </c>
      <c r="AO3">
        <v>1.8260425</v>
      </c>
      <c r="AP3">
        <v>1.8187899999999999</v>
      </c>
      <c r="AQ3">
        <v>1.8081624999999999</v>
      </c>
      <c r="AR3">
        <v>1.8754325000000001</v>
      </c>
      <c r="AS3">
        <v>1.8765449999999999</v>
      </c>
      <c r="AT3">
        <v>1.8824574999999999</v>
      </c>
      <c r="AU3">
        <v>1.8761625</v>
      </c>
      <c r="AV3">
        <v>1.88184</v>
      </c>
      <c r="AW3">
        <v>1.8777325</v>
      </c>
      <c r="AX3">
        <v>1.8789199999999999</v>
      </c>
      <c r="AY3">
        <v>1.8777625</v>
      </c>
      <c r="AZ3">
        <v>1.8802000000000001</v>
      </c>
      <c r="BA3">
        <v>1.8944099999999999</v>
      </c>
      <c r="BB3">
        <v>1.8956500000000001</v>
      </c>
      <c r="BC3">
        <v>1.8910374999999999</v>
      </c>
      <c r="BD3">
        <v>1.9292199999999999</v>
      </c>
      <c r="BE3">
        <v>1.9331324999999999</v>
      </c>
      <c r="BF3">
        <v>1.9150175</v>
      </c>
      <c r="BG3">
        <v>1.9151825</v>
      </c>
      <c r="BH3">
        <v>1.8840975</v>
      </c>
      <c r="BI3">
        <v>1.8941749999999999</v>
      </c>
    </row>
    <row r="4" spans="1:61" x14ac:dyDescent="0.25">
      <c r="A4">
        <v>3.2269430051813499</v>
      </c>
      <c r="B4">
        <f t="shared" ref="B4:B20" si="1">1.158*A4</f>
        <v>3.7368000000000028</v>
      </c>
      <c r="C4">
        <f t="shared" ref="C4:C20" si="2">1/A4</f>
        <v>0.30989081567116222</v>
      </c>
      <c r="E4">
        <v>0</v>
      </c>
      <c r="F4">
        <v>2.3310574999999998E-3</v>
      </c>
      <c r="G4">
        <v>-2.5883E-3</v>
      </c>
      <c r="H4">
        <v>2.6953250000000002E-2</v>
      </c>
      <c r="I4">
        <v>1.7454750000000002E-2</v>
      </c>
      <c r="J4">
        <v>2.8552000000000001E-2</v>
      </c>
      <c r="K4">
        <v>3.8683500000000003E-2</v>
      </c>
      <c r="L4">
        <v>4.6971249999999999E-2</v>
      </c>
      <c r="M4">
        <v>4.4347499999999998E-2</v>
      </c>
      <c r="N4">
        <v>8.4267750000000002E-2</v>
      </c>
      <c r="O4">
        <v>7.8977750000000194E-2</v>
      </c>
      <c r="P4">
        <v>8.0641999999999894E-2</v>
      </c>
      <c r="Q4">
        <v>0.28022350000000001</v>
      </c>
      <c r="R4">
        <v>0.29245975000000002</v>
      </c>
      <c r="S4">
        <v>0.28145025000000001</v>
      </c>
      <c r="T4">
        <v>0.56185574999999999</v>
      </c>
      <c r="U4">
        <v>0.57473275000000001</v>
      </c>
      <c r="V4">
        <v>0.5682585</v>
      </c>
      <c r="W4">
        <v>0.92202424999999999</v>
      </c>
      <c r="X4">
        <v>0.92862875</v>
      </c>
      <c r="Y4">
        <v>0.93181000000000003</v>
      </c>
      <c r="Z4">
        <v>1.01871775</v>
      </c>
      <c r="AA4">
        <v>1.0136087499999999</v>
      </c>
      <c r="AB4">
        <v>1.0131265</v>
      </c>
      <c r="AC4">
        <v>1.1531564999999999</v>
      </c>
      <c r="AD4">
        <v>1.15535575</v>
      </c>
      <c r="AE4">
        <v>1.1519489999999999</v>
      </c>
      <c r="AF4">
        <v>1.3251925</v>
      </c>
      <c r="AG4">
        <v>1.3188275</v>
      </c>
      <c r="AH4">
        <v>1.3236625</v>
      </c>
      <c r="AI4">
        <v>1.4852650000000001</v>
      </c>
      <c r="AJ4">
        <v>1.4898899999999999</v>
      </c>
      <c r="AK4">
        <v>1.4901825</v>
      </c>
      <c r="AL4">
        <v>1.66747</v>
      </c>
      <c r="AM4">
        <v>1.6672024999999999</v>
      </c>
      <c r="AN4">
        <v>1.6749624999999999</v>
      </c>
      <c r="AO4">
        <v>1.7830925</v>
      </c>
      <c r="AP4">
        <v>1.78148</v>
      </c>
      <c r="AQ4">
        <v>1.77443</v>
      </c>
      <c r="AR4">
        <v>1.8413349999999999</v>
      </c>
      <c r="AS4">
        <v>1.8412550000000001</v>
      </c>
      <c r="AT4">
        <v>1.8451375000000001</v>
      </c>
      <c r="AU4">
        <v>1.8406125</v>
      </c>
      <c r="AV4">
        <v>1.8423875000000001</v>
      </c>
      <c r="AW4">
        <v>1.8410175</v>
      </c>
      <c r="AX4">
        <v>1.8408675000000001</v>
      </c>
      <c r="AY4">
        <v>1.8439775</v>
      </c>
      <c r="AZ4">
        <v>1.845645</v>
      </c>
      <c r="BA4">
        <v>1.8618425000000001</v>
      </c>
      <c r="BB4">
        <v>1.8616874999999999</v>
      </c>
      <c r="BC4">
        <v>1.8580125000000001</v>
      </c>
      <c r="BD4">
        <v>1.8924300000000001</v>
      </c>
      <c r="BE4">
        <v>1.8981375</v>
      </c>
      <c r="BF4">
        <v>1.8823425</v>
      </c>
      <c r="BG4">
        <v>1.8807</v>
      </c>
      <c r="BH4">
        <v>1.852795</v>
      </c>
      <c r="BI4">
        <v>1.8717474999999999</v>
      </c>
    </row>
    <row r="5" spans="1:61" x14ac:dyDescent="0.25">
      <c r="A5">
        <v>3.1405872193437001</v>
      </c>
      <c r="B5">
        <f t="shared" si="1"/>
        <v>3.6368000000000045</v>
      </c>
      <c r="C5">
        <f t="shared" si="2"/>
        <v>0.31841179058512936</v>
      </c>
      <c r="E5">
        <v>0</v>
      </c>
      <c r="F5">
        <v>6.7694427500000001E-3</v>
      </c>
      <c r="G5">
        <v>4.44634E-3</v>
      </c>
      <c r="H5">
        <v>2.6115749999999899E-2</v>
      </c>
      <c r="I5">
        <v>1.866425E-2</v>
      </c>
      <c r="J5">
        <v>2.6693749999999999E-2</v>
      </c>
      <c r="K5">
        <v>3.8106500000000001E-2</v>
      </c>
      <c r="L5">
        <v>4.3491250000000002E-2</v>
      </c>
      <c r="M5">
        <v>4.2410750000000101E-2</v>
      </c>
      <c r="N5">
        <v>7.5232499999999994E-2</v>
      </c>
      <c r="O5">
        <v>7.0051500000000003E-2</v>
      </c>
      <c r="P5">
        <v>7.245625E-2</v>
      </c>
      <c r="Q5">
        <v>0.17529924999999999</v>
      </c>
      <c r="R5">
        <v>0.1837355</v>
      </c>
      <c r="S5">
        <v>0.175014</v>
      </c>
      <c r="T5">
        <v>0.43191574999999999</v>
      </c>
      <c r="U5">
        <v>0.44183525000000001</v>
      </c>
      <c r="V5">
        <v>0.43618725000000003</v>
      </c>
      <c r="W5">
        <v>0.77210500000000004</v>
      </c>
      <c r="X5">
        <v>0.77712674999999998</v>
      </c>
      <c r="Y5">
        <v>0.78284074999999997</v>
      </c>
      <c r="Z5">
        <v>0.85288900000000001</v>
      </c>
      <c r="AA5">
        <v>0.85128800000000004</v>
      </c>
      <c r="AB5">
        <v>0.84914674999999995</v>
      </c>
      <c r="AC5">
        <v>0.96924125000000005</v>
      </c>
      <c r="AD5">
        <v>0.96814500000000003</v>
      </c>
      <c r="AE5">
        <v>0.96574525</v>
      </c>
      <c r="AF5">
        <v>1.113605</v>
      </c>
      <c r="AG5">
        <v>1.1153525</v>
      </c>
      <c r="AH5">
        <v>1.116465</v>
      </c>
      <c r="AI5">
        <v>1.2531950000000001</v>
      </c>
      <c r="AJ5">
        <v>1.2562475</v>
      </c>
      <c r="AK5">
        <v>1.2593274999999999</v>
      </c>
      <c r="AL5">
        <v>1.404925</v>
      </c>
      <c r="AM5">
        <v>1.40987</v>
      </c>
      <c r="AN5">
        <v>1.4157025000000001</v>
      </c>
      <c r="AO5">
        <v>1.5083025000000001</v>
      </c>
      <c r="AP5">
        <v>1.512405</v>
      </c>
      <c r="AQ5">
        <v>1.5064225</v>
      </c>
      <c r="AR5">
        <v>1.5660075</v>
      </c>
      <c r="AS5">
        <v>1.5654574999999999</v>
      </c>
      <c r="AT5">
        <v>1.5721149999999999</v>
      </c>
      <c r="AU5">
        <v>1.5668925</v>
      </c>
      <c r="AV5">
        <v>1.5646074999999999</v>
      </c>
      <c r="AW5">
        <v>1.5659825000000001</v>
      </c>
      <c r="AX5">
        <v>1.5646374999999999</v>
      </c>
      <c r="AY5">
        <v>1.5681075</v>
      </c>
      <c r="AZ5">
        <v>1.5697375</v>
      </c>
      <c r="BA5">
        <v>1.5869575</v>
      </c>
      <c r="BB5">
        <v>1.5849549999999999</v>
      </c>
      <c r="BC5">
        <v>1.5814600000000001</v>
      </c>
      <c r="BD5">
        <v>1.609375</v>
      </c>
      <c r="BE5">
        <v>1.615545</v>
      </c>
      <c r="BF5">
        <v>1.599845</v>
      </c>
      <c r="BG5">
        <v>1.6051850000000001</v>
      </c>
      <c r="BH5">
        <v>1.5774474999999999</v>
      </c>
      <c r="BI5">
        <v>1.6131150000000001</v>
      </c>
    </row>
    <row r="6" spans="1:61" x14ac:dyDescent="0.25">
      <c r="A6">
        <v>3.0542314335060499</v>
      </c>
      <c r="B6">
        <f t="shared" si="1"/>
        <v>3.5368000000000053</v>
      </c>
      <c r="C6">
        <f t="shared" si="2"/>
        <v>0.3274146120787147</v>
      </c>
      <c r="E6">
        <v>0</v>
      </c>
      <c r="F6">
        <v>6.1580289999999998E-3</v>
      </c>
      <c r="G6">
        <v>8.5223574999999992E-3</v>
      </c>
      <c r="H6">
        <v>2.7890749999999999E-2</v>
      </c>
      <c r="I6">
        <v>2.0465750000000001E-2</v>
      </c>
      <c r="J6">
        <v>2.8560499999999999E-2</v>
      </c>
      <c r="K6">
        <v>4.355175E-2</v>
      </c>
      <c r="L6">
        <v>4.4853749999999998E-2</v>
      </c>
      <c r="M6">
        <v>4.299625E-2</v>
      </c>
      <c r="N6">
        <v>7.7618000000000006E-2</v>
      </c>
      <c r="O6">
        <v>6.8342249999999896E-2</v>
      </c>
      <c r="P6">
        <v>7.5556249999999894E-2</v>
      </c>
      <c r="Q6">
        <v>0.1178925</v>
      </c>
      <c r="R6">
        <v>0.1240395</v>
      </c>
      <c r="S6">
        <v>0.11596875</v>
      </c>
      <c r="T6">
        <v>0.357045</v>
      </c>
      <c r="U6">
        <v>0.366228</v>
      </c>
      <c r="V6">
        <v>0.35932049999999999</v>
      </c>
      <c r="W6">
        <v>0.69683899999999999</v>
      </c>
      <c r="X6">
        <v>0.70404699999999998</v>
      </c>
      <c r="Y6">
        <v>0.70993724999999996</v>
      </c>
      <c r="Z6">
        <v>0.78378674999999998</v>
      </c>
      <c r="AA6">
        <v>0.78445149999999997</v>
      </c>
      <c r="AB6">
        <v>0.78027500000000005</v>
      </c>
      <c r="AC6">
        <v>0.90581750000000005</v>
      </c>
      <c r="AD6">
        <v>0.89771999999999996</v>
      </c>
      <c r="AE6">
        <v>0.90013500000000002</v>
      </c>
      <c r="AF6">
        <v>1.0348625</v>
      </c>
      <c r="AG6">
        <v>1.0394950000000001</v>
      </c>
      <c r="AH6">
        <v>1.0395399999999999</v>
      </c>
      <c r="AI6">
        <v>1.16459</v>
      </c>
      <c r="AJ6">
        <v>1.1676675000000001</v>
      </c>
      <c r="AK6">
        <v>1.1727475000000001</v>
      </c>
      <c r="AL6">
        <v>1.2985925</v>
      </c>
      <c r="AM6">
        <v>1.309825</v>
      </c>
      <c r="AN6">
        <v>1.31267</v>
      </c>
      <c r="AO6">
        <v>1.3933275000000001</v>
      </c>
      <c r="AP6">
        <v>1.4035200000000001</v>
      </c>
      <c r="AQ6">
        <v>1.3958675</v>
      </c>
      <c r="AR6">
        <v>1.45492</v>
      </c>
      <c r="AS6">
        <v>1.4516800000000001</v>
      </c>
      <c r="AT6">
        <v>1.4597800000000001</v>
      </c>
      <c r="AU6">
        <v>1.4522925</v>
      </c>
      <c r="AV6">
        <v>1.4499599999999999</v>
      </c>
      <c r="AW6">
        <v>1.4509624999999999</v>
      </c>
      <c r="AX6">
        <v>1.448515</v>
      </c>
      <c r="AY6">
        <v>1.4542949999999999</v>
      </c>
      <c r="AZ6">
        <v>1.4537675000000001</v>
      </c>
      <c r="BA6">
        <v>1.47302</v>
      </c>
      <c r="BB6">
        <v>1.46977</v>
      </c>
      <c r="BC6">
        <v>1.465155</v>
      </c>
      <c r="BD6">
        <v>1.4903525</v>
      </c>
      <c r="BE6">
        <v>1.4983225</v>
      </c>
      <c r="BF6">
        <v>1.482145</v>
      </c>
      <c r="BG6">
        <v>1.4924725000000001</v>
      </c>
      <c r="BH6">
        <v>1.4620925</v>
      </c>
      <c r="BI6">
        <v>1.5109575</v>
      </c>
    </row>
    <row r="7" spans="1:61" x14ac:dyDescent="0.25">
      <c r="A7">
        <v>2.9678756476683898</v>
      </c>
      <c r="B7">
        <f t="shared" si="1"/>
        <v>3.4367999999999954</v>
      </c>
      <c r="C7">
        <f t="shared" si="2"/>
        <v>0.33694134078212334</v>
      </c>
      <c r="E7">
        <v>0</v>
      </c>
      <c r="F7">
        <v>1.3442424025E-2</v>
      </c>
      <c r="G7">
        <v>1.13745475E-2</v>
      </c>
      <c r="H7">
        <v>3.1939750000000003E-2</v>
      </c>
      <c r="I7">
        <v>2.233775E-2</v>
      </c>
      <c r="J7">
        <v>2.8757250000000002E-2</v>
      </c>
      <c r="K7">
        <v>4.3588750000000002E-2</v>
      </c>
      <c r="L7">
        <v>4.2684E-2</v>
      </c>
      <c r="M7">
        <v>4.0341250000000002E-2</v>
      </c>
      <c r="N7">
        <v>7.7781249999999996E-2</v>
      </c>
      <c r="O7">
        <v>6.51505E-2</v>
      </c>
      <c r="P7">
        <v>7.6779249999999993E-2</v>
      </c>
      <c r="Q7">
        <v>9.7844500000000001E-2</v>
      </c>
      <c r="R7">
        <v>0.10110675</v>
      </c>
      <c r="S7">
        <v>9.6730500000000094E-2</v>
      </c>
      <c r="T7">
        <v>0.32772099999999998</v>
      </c>
      <c r="U7">
        <v>0.33593475</v>
      </c>
      <c r="V7">
        <v>0.32992749999999998</v>
      </c>
      <c r="W7">
        <v>0.77409174999999997</v>
      </c>
      <c r="X7">
        <v>0.78824950000000005</v>
      </c>
      <c r="Y7">
        <v>0.79700099999999996</v>
      </c>
      <c r="Z7">
        <v>0.91432899999999995</v>
      </c>
      <c r="AA7">
        <v>0.91515250000000004</v>
      </c>
      <c r="AB7">
        <v>0.91176449999999998</v>
      </c>
      <c r="AC7">
        <v>1.0696874999999999</v>
      </c>
      <c r="AD7">
        <v>1.0569949999999999</v>
      </c>
      <c r="AE7">
        <v>1.0626774999999999</v>
      </c>
      <c r="AF7">
        <v>1.2224824999999999</v>
      </c>
      <c r="AG7">
        <v>1.2284975</v>
      </c>
      <c r="AH7">
        <v>1.227565</v>
      </c>
      <c r="AI7">
        <v>1.3726274999999999</v>
      </c>
      <c r="AJ7">
        <v>1.3753875</v>
      </c>
      <c r="AK7">
        <v>1.3831599999999999</v>
      </c>
      <c r="AL7">
        <v>1.5251650000000001</v>
      </c>
      <c r="AM7">
        <v>1.5375125000000001</v>
      </c>
      <c r="AN7">
        <v>1.5402925000000001</v>
      </c>
      <c r="AO7">
        <v>1.63045</v>
      </c>
      <c r="AP7">
        <v>1.6460925</v>
      </c>
      <c r="AQ7">
        <v>1.6354124999999999</v>
      </c>
      <c r="AR7">
        <v>1.7017925</v>
      </c>
      <c r="AS7">
        <v>1.6955849999999999</v>
      </c>
      <c r="AT7">
        <v>1.7085300000000001</v>
      </c>
      <c r="AU7">
        <v>1.6977199999999999</v>
      </c>
      <c r="AV7">
        <v>1.6976925</v>
      </c>
      <c r="AW7">
        <v>1.6966475000000001</v>
      </c>
      <c r="AX7">
        <v>1.696115</v>
      </c>
      <c r="AY7">
        <v>1.7017549999999999</v>
      </c>
      <c r="AZ7">
        <v>1.7015275000000001</v>
      </c>
      <c r="BA7">
        <v>1.7257499999999999</v>
      </c>
      <c r="BB7">
        <v>1.7231749999999999</v>
      </c>
      <c r="BC7">
        <v>1.7158825</v>
      </c>
      <c r="BD7">
        <v>1.7417825</v>
      </c>
      <c r="BE7">
        <v>1.7494175000000001</v>
      </c>
      <c r="BF7">
        <v>1.7318275000000001</v>
      </c>
      <c r="BG7">
        <v>1.7494875000000001</v>
      </c>
      <c r="BH7">
        <v>1.7109274999999999</v>
      </c>
      <c r="BI7">
        <v>1.7650475000000001</v>
      </c>
    </row>
    <row r="8" spans="1:61" x14ac:dyDescent="0.25">
      <c r="A8">
        <v>2.88151986183074</v>
      </c>
      <c r="B8">
        <f t="shared" si="1"/>
        <v>3.3367999999999967</v>
      </c>
      <c r="C8">
        <f t="shared" si="2"/>
        <v>0.34703907935746853</v>
      </c>
      <c r="E8">
        <v>0</v>
      </c>
      <c r="F8">
        <v>1.9465985000000002E-2</v>
      </c>
      <c r="G8">
        <v>1.7807587499999999E-2</v>
      </c>
      <c r="H8">
        <v>3.5952999999999999E-2</v>
      </c>
      <c r="I8">
        <v>2.16235E-2</v>
      </c>
      <c r="J8">
        <v>2.8889499999999999E-2</v>
      </c>
      <c r="K8">
        <v>4.4934000000000002E-2</v>
      </c>
      <c r="L8">
        <v>4.2151749999999898E-2</v>
      </c>
      <c r="M8">
        <v>3.9091499999999897E-2</v>
      </c>
      <c r="N8">
        <v>7.7117749999999999E-2</v>
      </c>
      <c r="O8">
        <v>6.0905500000000203E-2</v>
      </c>
      <c r="P8">
        <v>7.6505250000000094E-2</v>
      </c>
      <c r="Q8">
        <v>8.9939999999999895E-2</v>
      </c>
      <c r="R8">
        <v>9.0547250000000204E-2</v>
      </c>
      <c r="S8">
        <v>8.9323E-2</v>
      </c>
      <c r="T8">
        <v>0.299564</v>
      </c>
      <c r="U8">
        <v>0.30789250000000001</v>
      </c>
      <c r="V8">
        <v>0.302645</v>
      </c>
      <c r="W8">
        <v>0.80224150000000005</v>
      </c>
      <c r="X8">
        <v>0.81957950000000002</v>
      </c>
      <c r="Y8">
        <v>0.83329200000000003</v>
      </c>
      <c r="Z8">
        <v>0.97329524999999995</v>
      </c>
      <c r="AA8">
        <v>0.97426950000000001</v>
      </c>
      <c r="AB8">
        <v>0.96970825000000005</v>
      </c>
      <c r="AC8">
        <v>1.1432</v>
      </c>
      <c r="AD8">
        <v>1.1228324999999999</v>
      </c>
      <c r="AE8">
        <v>1.1303274999999999</v>
      </c>
      <c r="AF8">
        <v>1.296505</v>
      </c>
      <c r="AG8">
        <v>1.30714</v>
      </c>
      <c r="AH8">
        <v>1.3033475000000001</v>
      </c>
      <c r="AI8">
        <v>1.4519774999999999</v>
      </c>
      <c r="AJ8">
        <v>1.4558599999999999</v>
      </c>
      <c r="AK8">
        <v>1.464995</v>
      </c>
      <c r="AL8">
        <v>1.6084925000000001</v>
      </c>
      <c r="AM8">
        <v>1.6243075</v>
      </c>
      <c r="AN8">
        <v>1.6258425000000001</v>
      </c>
      <c r="AO8">
        <v>1.7097925</v>
      </c>
      <c r="AP8">
        <v>1.732105</v>
      </c>
      <c r="AQ8">
        <v>1.7203525</v>
      </c>
      <c r="AR8">
        <v>1.7890600000000001</v>
      </c>
      <c r="AS8">
        <v>1.7797925000000001</v>
      </c>
      <c r="AT8">
        <v>1.797015</v>
      </c>
      <c r="AU8">
        <v>1.7821499999999999</v>
      </c>
      <c r="AV8">
        <v>1.782465</v>
      </c>
      <c r="AW8">
        <v>1.78112</v>
      </c>
      <c r="AX8">
        <v>1.7806225</v>
      </c>
      <c r="AY8">
        <v>1.7865475</v>
      </c>
      <c r="AZ8">
        <v>1.7834675</v>
      </c>
      <c r="BA8">
        <v>1.8105150000000001</v>
      </c>
      <c r="BB8">
        <v>1.8077350000000001</v>
      </c>
      <c r="BC8">
        <v>1.7991250000000001</v>
      </c>
      <c r="BD8">
        <v>1.8232950000000001</v>
      </c>
      <c r="BE8">
        <v>1.8324374999999999</v>
      </c>
      <c r="BF8">
        <v>1.813245</v>
      </c>
      <c r="BG8">
        <v>1.8358675</v>
      </c>
      <c r="BH8">
        <v>1.792195</v>
      </c>
      <c r="BI8">
        <v>1.85494</v>
      </c>
    </row>
    <row r="9" spans="1:61" x14ac:dyDescent="0.25">
      <c r="A9">
        <v>2.7951640759930898</v>
      </c>
      <c r="B9">
        <f t="shared" si="1"/>
        <v>3.2367999999999979</v>
      </c>
      <c r="C9">
        <f t="shared" si="2"/>
        <v>0.35776075135936752</v>
      </c>
      <c r="E9">
        <v>0</v>
      </c>
      <c r="F9">
        <v>1.6278569999999999E-2</v>
      </c>
      <c r="G9">
        <v>2.1072245E-2</v>
      </c>
      <c r="H9">
        <v>3.4863249999999998E-2</v>
      </c>
      <c r="I9">
        <v>1.7906749999999999E-2</v>
      </c>
      <c r="J9">
        <v>2.6335000000000001E-2</v>
      </c>
      <c r="K9">
        <v>4.3140999999999999E-2</v>
      </c>
      <c r="L9">
        <v>3.9933999999999997E-2</v>
      </c>
      <c r="M9">
        <v>3.6107500000000001E-2</v>
      </c>
      <c r="N9">
        <v>7.3563249999999997E-2</v>
      </c>
      <c r="O9">
        <v>5.4336250000000003E-2</v>
      </c>
      <c r="P9">
        <v>7.3216750000000094E-2</v>
      </c>
      <c r="Q9">
        <v>8.5155250000000099E-2</v>
      </c>
      <c r="R9">
        <v>8.4495750000000105E-2</v>
      </c>
      <c r="S9">
        <v>8.4372499999999698E-2</v>
      </c>
      <c r="T9">
        <v>0.2246475</v>
      </c>
      <c r="U9">
        <v>0.23090474999999999</v>
      </c>
      <c r="V9">
        <v>0.22348425</v>
      </c>
      <c r="W9">
        <v>0.66539499999999996</v>
      </c>
      <c r="X9">
        <v>0.68140374999999997</v>
      </c>
      <c r="Y9">
        <v>0.69702249999999999</v>
      </c>
      <c r="Z9">
        <v>0.86770225000000001</v>
      </c>
      <c r="AA9">
        <v>0.86834325000000001</v>
      </c>
      <c r="AB9">
        <v>0.86524825000000005</v>
      </c>
      <c r="AC9">
        <v>1.04671</v>
      </c>
      <c r="AD9">
        <v>1.024095</v>
      </c>
      <c r="AE9">
        <v>1.03189</v>
      </c>
      <c r="AF9">
        <v>1.1793450000000001</v>
      </c>
      <c r="AG9">
        <v>1.19133</v>
      </c>
      <c r="AH9">
        <v>1.185775</v>
      </c>
      <c r="AI9">
        <v>1.32572</v>
      </c>
      <c r="AJ9">
        <v>1.3298874999999999</v>
      </c>
      <c r="AK9">
        <v>1.3410325000000001</v>
      </c>
      <c r="AL9">
        <v>1.4671225000000001</v>
      </c>
      <c r="AM9">
        <v>1.4834375</v>
      </c>
      <c r="AN9">
        <v>1.4840525</v>
      </c>
      <c r="AO9">
        <v>1.56077</v>
      </c>
      <c r="AP9">
        <v>1.5862974999999999</v>
      </c>
      <c r="AQ9">
        <v>1.5750824999999999</v>
      </c>
      <c r="AR9">
        <v>1.641465</v>
      </c>
      <c r="AS9">
        <v>1.63148</v>
      </c>
      <c r="AT9">
        <v>1.6498275</v>
      </c>
      <c r="AU9">
        <v>1.6332525</v>
      </c>
      <c r="AV9">
        <v>1.6338600000000001</v>
      </c>
      <c r="AW9">
        <v>1.6325000000000001</v>
      </c>
      <c r="AX9">
        <v>1.63357</v>
      </c>
      <c r="AY9">
        <v>1.6379900000000001</v>
      </c>
      <c r="AZ9">
        <v>1.6361924999999999</v>
      </c>
      <c r="BA9">
        <v>1.6665475000000001</v>
      </c>
      <c r="BB9">
        <v>1.66286</v>
      </c>
      <c r="BC9">
        <v>1.6520975</v>
      </c>
      <c r="BD9">
        <v>1.670795</v>
      </c>
      <c r="BE9">
        <v>1.6805224999999999</v>
      </c>
      <c r="BF9">
        <v>1.6640975</v>
      </c>
      <c r="BG9">
        <v>1.6903550000000001</v>
      </c>
      <c r="BH9">
        <v>1.6477275</v>
      </c>
      <c r="BI9">
        <v>1.7216199999999999</v>
      </c>
    </row>
    <row r="10" spans="1:61" x14ac:dyDescent="0.25">
      <c r="A10">
        <v>2.70880829015544</v>
      </c>
      <c r="B10">
        <f t="shared" si="1"/>
        <v>3.1367999999999991</v>
      </c>
      <c r="C10">
        <f t="shared" si="2"/>
        <v>0.36916602907421581</v>
      </c>
      <c r="E10">
        <v>0</v>
      </c>
      <c r="F10">
        <v>1.5553255E-2</v>
      </c>
      <c r="G10">
        <v>2.2641555000000001E-2</v>
      </c>
      <c r="H10">
        <v>3.6825999999999998E-2</v>
      </c>
      <c r="I10">
        <v>1.6111250000000001E-2</v>
      </c>
      <c r="J10">
        <v>2.35340000000001E-2</v>
      </c>
      <c r="K10">
        <v>4.4671250000000003E-2</v>
      </c>
      <c r="L10">
        <v>4.0966000000000002E-2</v>
      </c>
      <c r="M10">
        <v>3.4269750000000002E-2</v>
      </c>
      <c r="N10">
        <v>6.8419250000000001E-2</v>
      </c>
      <c r="O10">
        <v>5.0241500000000099E-2</v>
      </c>
      <c r="P10">
        <v>7.1104749999999897E-2</v>
      </c>
      <c r="Q10">
        <v>8.0052500000000304E-2</v>
      </c>
      <c r="R10">
        <v>7.8482500000000205E-2</v>
      </c>
      <c r="S10">
        <v>7.9027500000000001E-2</v>
      </c>
      <c r="T10">
        <v>0.11543249999999999</v>
      </c>
      <c r="U10">
        <v>0.11627999999999999</v>
      </c>
      <c r="V10">
        <v>0.1092675</v>
      </c>
      <c r="W10">
        <v>0.45289499999999999</v>
      </c>
      <c r="X10">
        <v>0.4688775</v>
      </c>
      <c r="Y10">
        <v>0.48465750000000002</v>
      </c>
      <c r="Z10">
        <v>0.67634499999999997</v>
      </c>
      <c r="AA10">
        <v>0.67948750000000002</v>
      </c>
      <c r="AB10">
        <v>0.67662500000000003</v>
      </c>
      <c r="AC10">
        <v>0.90979500000000002</v>
      </c>
      <c r="AD10">
        <v>0.88276250000000001</v>
      </c>
      <c r="AE10">
        <v>0.89390749999999997</v>
      </c>
      <c r="AF10">
        <v>1.0531174999999999</v>
      </c>
      <c r="AG10">
        <v>1.0679875000000001</v>
      </c>
      <c r="AH10">
        <v>1.06047</v>
      </c>
      <c r="AI10">
        <v>1.201805</v>
      </c>
      <c r="AJ10">
        <v>1.2053149999999999</v>
      </c>
      <c r="AK10">
        <v>1.2183375000000001</v>
      </c>
      <c r="AL10">
        <v>1.3273975</v>
      </c>
      <c r="AM10">
        <v>1.34518</v>
      </c>
      <c r="AN10">
        <v>1.3452625</v>
      </c>
      <c r="AO10">
        <v>1.4174875</v>
      </c>
      <c r="AP10">
        <v>1.445125</v>
      </c>
      <c r="AQ10">
        <v>1.432205</v>
      </c>
      <c r="AR10">
        <v>1.4968524999999999</v>
      </c>
      <c r="AS10">
        <v>1.484235</v>
      </c>
      <c r="AT10">
        <v>1.5032075</v>
      </c>
      <c r="AU10">
        <v>1.485385</v>
      </c>
      <c r="AV10">
        <v>1.4889325</v>
      </c>
      <c r="AW10">
        <v>1.4871574999999999</v>
      </c>
      <c r="AX10">
        <v>1.4892924999999999</v>
      </c>
      <c r="AY10">
        <v>1.4939849999999999</v>
      </c>
      <c r="AZ10">
        <v>1.490675</v>
      </c>
      <c r="BA10">
        <v>1.52132</v>
      </c>
      <c r="BB10">
        <v>1.5175775</v>
      </c>
      <c r="BC10">
        <v>1.50607</v>
      </c>
      <c r="BD10">
        <v>1.5220425</v>
      </c>
      <c r="BE10">
        <v>1.5316650000000001</v>
      </c>
      <c r="BF10">
        <v>1.5156125</v>
      </c>
      <c r="BG10">
        <v>1.54453</v>
      </c>
      <c r="BH10">
        <v>1.5015274999999999</v>
      </c>
      <c r="BI10">
        <v>1.5881974999999999</v>
      </c>
    </row>
    <row r="11" spans="1:61" x14ac:dyDescent="0.25">
      <c r="A11">
        <v>2.6224525043177902</v>
      </c>
      <c r="B11">
        <f t="shared" si="1"/>
        <v>3.0368000000000008</v>
      </c>
      <c r="C11">
        <f t="shared" si="2"/>
        <v>0.38132244467860893</v>
      </c>
      <c r="E11">
        <v>0</v>
      </c>
      <c r="F11">
        <v>1.32575425E-2</v>
      </c>
      <c r="G11">
        <v>2.1529125E-2</v>
      </c>
      <c r="H11">
        <v>3.1210250000000099E-2</v>
      </c>
      <c r="I11">
        <v>1.427175E-2</v>
      </c>
      <c r="J11">
        <v>1.7045749999999998E-2</v>
      </c>
      <c r="K11">
        <v>4.2780749999999999E-2</v>
      </c>
      <c r="L11">
        <v>3.7116749999999997E-2</v>
      </c>
      <c r="M11">
        <v>3.12467499999999E-2</v>
      </c>
      <c r="N11">
        <v>6.0423749999999998E-2</v>
      </c>
      <c r="O11">
        <v>4.1759999999999999E-2</v>
      </c>
      <c r="P11">
        <v>6.2440499999999899E-2</v>
      </c>
      <c r="Q11">
        <v>7.1094999999999894E-2</v>
      </c>
      <c r="R11">
        <v>6.9142499999999898E-2</v>
      </c>
      <c r="S11">
        <v>7.1322499999999997E-2</v>
      </c>
      <c r="T11">
        <v>9.8452500000000095E-2</v>
      </c>
      <c r="U11">
        <v>9.4937500000000105E-2</v>
      </c>
      <c r="V11">
        <v>8.8622500000000104E-2</v>
      </c>
      <c r="W11">
        <v>0.3391325</v>
      </c>
      <c r="X11">
        <v>0.35173500000000002</v>
      </c>
      <c r="Y11">
        <v>0.36874750000000001</v>
      </c>
      <c r="Z11">
        <v>0.55141249999999997</v>
      </c>
      <c r="AA11">
        <v>0.55722249999999995</v>
      </c>
      <c r="AB11">
        <v>0.55406500000000003</v>
      </c>
      <c r="AC11">
        <v>0.78357750000000004</v>
      </c>
      <c r="AD11">
        <v>0.75829250000000004</v>
      </c>
      <c r="AE11">
        <v>0.76748499999999997</v>
      </c>
      <c r="AF11">
        <v>0.91486999999999996</v>
      </c>
      <c r="AG11">
        <v>0.93288749999999998</v>
      </c>
      <c r="AH11">
        <v>0.92370750000000001</v>
      </c>
      <c r="AI11">
        <v>1.0513399999999999</v>
      </c>
      <c r="AJ11">
        <v>1.0558225000000001</v>
      </c>
      <c r="AK11">
        <v>1.0693950000000001</v>
      </c>
      <c r="AL11">
        <v>1.1569925000000001</v>
      </c>
      <c r="AM11">
        <v>1.1759550000000001</v>
      </c>
      <c r="AN11">
        <v>1.1747300000000001</v>
      </c>
      <c r="AO11">
        <v>1.2325950000000001</v>
      </c>
      <c r="AP11">
        <v>1.2612475000000001</v>
      </c>
      <c r="AQ11">
        <v>1.2518450000000001</v>
      </c>
      <c r="AR11">
        <v>1.3114049999999999</v>
      </c>
      <c r="AS11">
        <v>1.2993975</v>
      </c>
      <c r="AT11">
        <v>1.3159875000000001</v>
      </c>
      <c r="AU11">
        <v>1.3005625000000001</v>
      </c>
      <c r="AV11">
        <v>1.3037425</v>
      </c>
      <c r="AW11">
        <v>1.3010824999999999</v>
      </c>
      <c r="AX11">
        <v>1.3048625</v>
      </c>
      <c r="AY11">
        <v>1.3074425000000001</v>
      </c>
      <c r="AZ11">
        <v>1.3033625</v>
      </c>
      <c r="BA11">
        <v>1.3328825</v>
      </c>
      <c r="BB11">
        <v>1.32907</v>
      </c>
      <c r="BC11">
        <v>1.3182725</v>
      </c>
      <c r="BD11">
        <v>1.3305849999999999</v>
      </c>
      <c r="BE11">
        <v>1.341675</v>
      </c>
      <c r="BF11">
        <v>1.3260825000000001</v>
      </c>
      <c r="BG11">
        <v>1.3536275</v>
      </c>
      <c r="BH11">
        <v>1.3155399999999999</v>
      </c>
      <c r="BI11">
        <v>1.41157</v>
      </c>
    </row>
    <row r="12" spans="1:61" x14ac:dyDescent="0.25">
      <c r="A12">
        <v>2.53609671848014</v>
      </c>
      <c r="B12">
        <f t="shared" si="1"/>
        <v>2.9368000000000021</v>
      </c>
      <c r="C12">
        <f t="shared" si="2"/>
        <v>0.39430672841187658</v>
      </c>
      <c r="E12">
        <v>0</v>
      </c>
      <c r="F12">
        <v>-6.1975500000000005E-4</v>
      </c>
      <c r="G12">
        <v>2.282872E-2</v>
      </c>
      <c r="H12">
        <v>2.322925E-2</v>
      </c>
      <c r="I12">
        <v>1.1615E-2</v>
      </c>
      <c r="J12">
        <v>1.1799749999999901E-2</v>
      </c>
      <c r="K12">
        <v>3.8681E-2</v>
      </c>
      <c r="L12">
        <v>3.1127499999999999E-2</v>
      </c>
      <c r="M12">
        <v>2.7413E-2</v>
      </c>
      <c r="N12">
        <v>5.1727750000000003E-2</v>
      </c>
      <c r="O12">
        <v>3.5327749999999998E-2</v>
      </c>
      <c r="P12">
        <v>5.2627000000000097E-2</v>
      </c>
      <c r="Q12">
        <v>6.1210000000000001E-2</v>
      </c>
      <c r="R12">
        <v>5.8724999999999902E-2</v>
      </c>
      <c r="S12">
        <v>6.1284999999999798E-2</v>
      </c>
      <c r="T12">
        <v>8.1809999999999897E-2</v>
      </c>
      <c r="U12">
        <v>7.8457500000000097E-2</v>
      </c>
      <c r="V12">
        <v>7.10724999999999E-2</v>
      </c>
      <c r="W12">
        <v>0.26156249999999998</v>
      </c>
      <c r="X12">
        <v>0.27153749999999999</v>
      </c>
      <c r="Y12">
        <v>0.287215</v>
      </c>
      <c r="Z12">
        <v>0.46048499999999998</v>
      </c>
      <c r="AA12">
        <v>0.46718999999999999</v>
      </c>
      <c r="AB12">
        <v>0.46462750000000003</v>
      </c>
      <c r="AC12">
        <v>0.71241750000000004</v>
      </c>
      <c r="AD12">
        <v>0.68978249999999997</v>
      </c>
      <c r="AE12">
        <v>0.6987525</v>
      </c>
      <c r="AF12">
        <v>0.84998249999999997</v>
      </c>
      <c r="AG12">
        <v>0.87112999999999996</v>
      </c>
      <c r="AH12">
        <v>0.86388750000000003</v>
      </c>
      <c r="AI12">
        <v>1.0279799999999999</v>
      </c>
      <c r="AJ12">
        <v>1.0325899999999999</v>
      </c>
      <c r="AK12">
        <v>1.0461175</v>
      </c>
      <c r="AL12">
        <v>1.1352</v>
      </c>
      <c r="AM12">
        <v>1.156425</v>
      </c>
      <c r="AN12">
        <v>1.15632</v>
      </c>
      <c r="AO12">
        <v>1.21275</v>
      </c>
      <c r="AP12">
        <v>1.2434175000000001</v>
      </c>
      <c r="AQ12">
        <v>1.2341575</v>
      </c>
      <c r="AR12">
        <v>1.2934099999999999</v>
      </c>
      <c r="AS12">
        <v>1.2829625</v>
      </c>
      <c r="AT12">
        <v>1.2986575</v>
      </c>
      <c r="AU12">
        <v>1.2836749999999999</v>
      </c>
      <c r="AV12">
        <v>1.2839700000000001</v>
      </c>
      <c r="AW12">
        <v>1.2835175000000001</v>
      </c>
      <c r="AX12">
        <v>1.2866424999999999</v>
      </c>
      <c r="AY12">
        <v>1.2905675000000001</v>
      </c>
      <c r="AZ12">
        <v>1.2864325000000001</v>
      </c>
      <c r="BA12">
        <v>1.3138175000000001</v>
      </c>
      <c r="BB12">
        <v>1.3115699999999999</v>
      </c>
      <c r="BC12">
        <v>1.3015425</v>
      </c>
      <c r="BD12">
        <v>1.312605</v>
      </c>
      <c r="BE12">
        <v>1.3232524999999999</v>
      </c>
      <c r="BF12">
        <v>1.308325</v>
      </c>
      <c r="BG12">
        <v>1.3351850000000001</v>
      </c>
      <c r="BH12">
        <v>1.30253</v>
      </c>
      <c r="BI12">
        <v>1.3998675</v>
      </c>
    </row>
    <row r="13" spans="1:61" x14ac:dyDescent="0.25">
      <c r="A13">
        <v>2.4497409326424902</v>
      </c>
      <c r="B13">
        <f t="shared" si="1"/>
        <v>2.8368000000000033</v>
      </c>
      <c r="C13">
        <f t="shared" si="2"/>
        <v>0.4082064297800333</v>
      </c>
      <c r="E13">
        <v>0</v>
      </c>
      <c r="F13">
        <v>3.50724999999999E-4</v>
      </c>
      <c r="G13">
        <v>2.0197742500000001E-2</v>
      </c>
      <c r="H13">
        <v>1.640175E-2</v>
      </c>
      <c r="I13">
        <v>8.6132499999999595E-3</v>
      </c>
      <c r="J13">
        <v>8.2227499999999992E-3</v>
      </c>
      <c r="K13">
        <v>3.2520250000000001E-2</v>
      </c>
      <c r="L13">
        <v>2.7380999999999999E-2</v>
      </c>
      <c r="M13">
        <v>2.169625E-2</v>
      </c>
      <c r="N13">
        <v>4.3114249999999903E-2</v>
      </c>
      <c r="O13">
        <v>2.9249250000000001E-2</v>
      </c>
      <c r="P13">
        <v>4.4380999999999997E-2</v>
      </c>
      <c r="Q13">
        <v>4.98624999999999E-2</v>
      </c>
      <c r="R13">
        <v>4.7020000000000103E-2</v>
      </c>
      <c r="S13">
        <v>5.2049999999999902E-2</v>
      </c>
      <c r="T13">
        <v>7.0000000000000104E-2</v>
      </c>
      <c r="U13">
        <v>6.6674999999999804E-2</v>
      </c>
      <c r="V13">
        <v>5.9142500000000098E-2</v>
      </c>
      <c r="W13">
        <v>0.24147750000000001</v>
      </c>
      <c r="X13">
        <v>0.25298999999999999</v>
      </c>
      <c r="Y13">
        <v>0.26781749999999999</v>
      </c>
      <c r="Z13">
        <v>0.44118499999999999</v>
      </c>
      <c r="AA13">
        <v>0.44784000000000002</v>
      </c>
      <c r="AB13">
        <v>0.44388</v>
      </c>
      <c r="AC13">
        <v>0.72567749999999998</v>
      </c>
      <c r="AD13">
        <v>0.70216999999999996</v>
      </c>
      <c r="AE13">
        <v>0.71267749999999996</v>
      </c>
      <c r="AF13">
        <v>0.88990000000000002</v>
      </c>
      <c r="AG13">
        <v>0.90645249999999999</v>
      </c>
      <c r="AH13">
        <v>0.90131749999999999</v>
      </c>
      <c r="AI13">
        <v>1.1146499999999999</v>
      </c>
      <c r="AJ13">
        <v>1.1189875</v>
      </c>
      <c r="AK13">
        <v>1.1299874999999999</v>
      </c>
      <c r="AL13">
        <v>1.237805</v>
      </c>
      <c r="AM13">
        <v>1.2558925000000001</v>
      </c>
      <c r="AN13">
        <v>1.2556350000000001</v>
      </c>
      <c r="AO13">
        <v>1.3166724999999999</v>
      </c>
      <c r="AP13">
        <v>1.3427125</v>
      </c>
      <c r="AQ13">
        <v>1.3363575000000001</v>
      </c>
      <c r="AR13">
        <v>1.3960874999999999</v>
      </c>
      <c r="AS13">
        <v>1.3868875000000001</v>
      </c>
      <c r="AT13">
        <v>1.4021600000000001</v>
      </c>
      <c r="AU13">
        <v>1.38974</v>
      </c>
      <c r="AV13">
        <v>1.3893275</v>
      </c>
      <c r="AW13">
        <v>1.3874899999999999</v>
      </c>
      <c r="AX13">
        <v>1.3923224999999999</v>
      </c>
      <c r="AY13">
        <v>1.3954625000000001</v>
      </c>
      <c r="AZ13">
        <v>1.3922600000000001</v>
      </c>
      <c r="BA13">
        <v>1.4180999999999999</v>
      </c>
      <c r="BB13">
        <v>1.4182874999999999</v>
      </c>
      <c r="BC13">
        <v>1.4085449999999999</v>
      </c>
      <c r="BD13">
        <v>1.4204675</v>
      </c>
      <c r="BE13">
        <v>1.4315875</v>
      </c>
      <c r="BF13">
        <v>1.4202600000000001</v>
      </c>
      <c r="BG13">
        <v>1.4443474999999999</v>
      </c>
      <c r="BH13">
        <v>1.4115</v>
      </c>
      <c r="BI13">
        <v>1.5098050000000001</v>
      </c>
    </row>
    <row r="14" spans="1:61" x14ac:dyDescent="0.25">
      <c r="A14">
        <v>2.3633851468048399</v>
      </c>
      <c r="B14">
        <f t="shared" si="1"/>
        <v>2.7368000000000046</v>
      </c>
      <c r="C14">
        <f t="shared" si="2"/>
        <v>0.42312189418298674</v>
      </c>
      <c r="E14">
        <v>0</v>
      </c>
      <c r="F14">
        <v>3.9983275000000099E-4</v>
      </c>
      <c r="G14">
        <v>1.4127600000000001E-2</v>
      </c>
      <c r="H14">
        <v>1.119325E-2</v>
      </c>
      <c r="I14">
        <v>9.2085000000000101E-3</v>
      </c>
      <c r="J14">
        <v>5.7017499999999499E-3</v>
      </c>
      <c r="K14">
        <v>2.5642499999999999E-2</v>
      </c>
      <c r="L14">
        <v>2.30237500000001E-2</v>
      </c>
      <c r="M14">
        <v>1.729E-2</v>
      </c>
      <c r="N14">
        <v>3.3272000000000003E-2</v>
      </c>
      <c r="O14">
        <v>2.5177749999999902E-2</v>
      </c>
      <c r="P14">
        <v>3.422E-2</v>
      </c>
      <c r="Q14">
        <v>4.11724999999998E-2</v>
      </c>
      <c r="R14">
        <v>3.8017500000000003E-2</v>
      </c>
      <c r="S14">
        <v>4.2904999999999999E-2</v>
      </c>
      <c r="T14">
        <v>6.0107500000000001E-2</v>
      </c>
      <c r="U14">
        <v>5.8902500000000101E-2</v>
      </c>
      <c r="V14">
        <v>5.1120000000000103E-2</v>
      </c>
      <c r="W14">
        <v>0.23676249999999999</v>
      </c>
      <c r="X14">
        <v>0.24840999999999999</v>
      </c>
      <c r="Y14">
        <v>0.25887250000000001</v>
      </c>
      <c r="Z14">
        <v>0.43107499999999999</v>
      </c>
      <c r="AA14">
        <v>0.43449749999999998</v>
      </c>
      <c r="AB14">
        <v>0.43411</v>
      </c>
      <c r="AC14">
        <v>0.70435250000000005</v>
      </c>
      <c r="AD14">
        <v>0.68657000000000001</v>
      </c>
      <c r="AE14">
        <v>0.69534499999999999</v>
      </c>
      <c r="AF14">
        <v>0.86966750000000004</v>
      </c>
      <c r="AG14">
        <v>0.88133499999999998</v>
      </c>
      <c r="AH14">
        <v>0.87910750000000104</v>
      </c>
      <c r="AI14">
        <v>1.1401250000000001</v>
      </c>
      <c r="AJ14">
        <v>1.1462000000000001</v>
      </c>
      <c r="AK14">
        <v>1.1566025</v>
      </c>
      <c r="AL14">
        <v>1.2993475000000001</v>
      </c>
      <c r="AM14">
        <v>1.3138974999999999</v>
      </c>
      <c r="AN14">
        <v>1.314425</v>
      </c>
      <c r="AO14">
        <v>1.3948525000000001</v>
      </c>
      <c r="AP14">
        <v>1.415675</v>
      </c>
      <c r="AQ14">
        <v>1.4150775</v>
      </c>
      <c r="AR14">
        <v>1.5057400000000001</v>
      </c>
      <c r="AS14">
        <v>1.499385</v>
      </c>
      <c r="AT14">
        <v>1.516375</v>
      </c>
      <c r="AU14">
        <v>1.5075425</v>
      </c>
      <c r="AV14">
        <v>1.5109425000000001</v>
      </c>
      <c r="AW14">
        <v>1.5109925</v>
      </c>
      <c r="AX14">
        <v>1.5181549999999999</v>
      </c>
      <c r="AY14">
        <v>1.5209124999999999</v>
      </c>
      <c r="AZ14">
        <v>1.52033</v>
      </c>
      <c r="BA14">
        <v>1.5454300000000001</v>
      </c>
      <c r="BB14">
        <v>1.5462875</v>
      </c>
      <c r="BC14">
        <v>1.540135</v>
      </c>
      <c r="BD14">
        <v>1.5644499999999999</v>
      </c>
      <c r="BE14">
        <v>1.5774250000000001</v>
      </c>
      <c r="BF14">
        <v>1.5701050000000001</v>
      </c>
      <c r="BG14">
        <v>1.5904</v>
      </c>
      <c r="BH14">
        <v>1.5711275</v>
      </c>
      <c r="BI14">
        <v>1.6190800000000001</v>
      </c>
    </row>
    <row r="15" spans="1:61" x14ac:dyDescent="0.25">
      <c r="A15">
        <v>2.2770293609671901</v>
      </c>
      <c r="B15">
        <f t="shared" si="1"/>
        <v>2.6368000000000058</v>
      </c>
      <c r="C15">
        <f t="shared" si="2"/>
        <v>0.43916868932038733</v>
      </c>
      <c r="E15">
        <v>0</v>
      </c>
      <c r="F15">
        <v>-5.2599513249999997E-3</v>
      </c>
      <c r="G15">
        <v>3.7715750000000001E-3</v>
      </c>
      <c r="H15">
        <v>2.37000000000004E-3</v>
      </c>
      <c r="I15">
        <v>5.0499999999997801E-4</v>
      </c>
      <c r="J15">
        <v>-4.2797499999999199E-3</v>
      </c>
      <c r="K15">
        <v>1.3539000000000001E-2</v>
      </c>
      <c r="L15">
        <v>1.0099250000000001E-2</v>
      </c>
      <c r="M15">
        <v>8.9972500000000104E-3</v>
      </c>
      <c r="N15">
        <v>1.8367499999999998E-2</v>
      </c>
      <c r="O15">
        <v>1.5603000000000099E-2</v>
      </c>
      <c r="P15">
        <v>1.8717999999999999E-2</v>
      </c>
      <c r="Q15">
        <v>2.60649999999998E-2</v>
      </c>
      <c r="R15">
        <v>2.4722500000000001E-2</v>
      </c>
      <c r="S15">
        <v>2.7002500000000301E-2</v>
      </c>
      <c r="T15">
        <v>3.56550000000002E-2</v>
      </c>
      <c r="U15">
        <v>3.6235000000000003E-2</v>
      </c>
      <c r="V15">
        <v>3.0644999999999801E-2</v>
      </c>
      <c r="W15">
        <v>0.20929500000000001</v>
      </c>
      <c r="X15">
        <v>0.21598249999999999</v>
      </c>
      <c r="Y15">
        <v>0.22487499999999999</v>
      </c>
      <c r="Z15">
        <v>0.39095249999999998</v>
      </c>
      <c r="AA15">
        <v>0.39536749999999998</v>
      </c>
      <c r="AB15">
        <v>0.39644750000000001</v>
      </c>
      <c r="AC15">
        <v>0.64778999999999998</v>
      </c>
      <c r="AD15">
        <v>0.6385575</v>
      </c>
      <c r="AE15">
        <v>0.64415</v>
      </c>
      <c r="AF15">
        <v>0.81733750000000005</v>
      </c>
      <c r="AG15">
        <v>0.82623500000000005</v>
      </c>
      <c r="AH15">
        <v>0.82518999999999998</v>
      </c>
      <c r="AI15">
        <v>1.17361</v>
      </c>
      <c r="AJ15">
        <v>1.1799949999999999</v>
      </c>
      <c r="AK15">
        <v>1.1875249999999999</v>
      </c>
      <c r="AL15">
        <v>1.3575925</v>
      </c>
      <c r="AM15">
        <v>1.367065</v>
      </c>
      <c r="AN15">
        <v>1.3686375</v>
      </c>
      <c r="AO15">
        <v>1.4692475</v>
      </c>
      <c r="AP15">
        <v>1.4841175</v>
      </c>
      <c r="AQ15">
        <v>1.4893624999999999</v>
      </c>
      <c r="AR15">
        <v>1.5976950000000001</v>
      </c>
      <c r="AS15">
        <v>1.597235</v>
      </c>
      <c r="AT15">
        <v>1.6087175</v>
      </c>
      <c r="AU15">
        <v>1.6059874999999999</v>
      </c>
      <c r="AV15">
        <v>1.6112200000000001</v>
      </c>
      <c r="AW15">
        <v>1.6111475</v>
      </c>
      <c r="AX15">
        <v>1.6205274999999999</v>
      </c>
      <c r="AY15">
        <v>1.6215975</v>
      </c>
      <c r="AZ15">
        <v>1.6244075</v>
      </c>
      <c r="BA15">
        <v>1.64398166666667</v>
      </c>
      <c r="BB15">
        <v>1.64613916666667</v>
      </c>
      <c r="BC15">
        <v>1.6436216666666701</v>
      </c>
      <c r="BD15">
        <v>1.6773916666666699</v>
      </c>
      <c r="BE15">
        <v>1.69143333333333</v>
      </c>
      <c r="BF15">
        <v>1.69120166666667</v>
      </c>
      <c r="BG15">
        <v>1.7045333333333299</v>
      </c>
      <c r="BH15">
        <v>1.7067950000000001</v>
      </c>
      <c r="BI15">
        <v>1.7163999999999999</v>
      </c>
    </row>
    <row r="16" spans="1:61" x14ac:dyDescent="0.25">
      <c r="A16">
        <v>2.1906735751295301</v>
      </c>
      <c r="B16">
        <f t="shared" si="1"/>
        <v>2.5367999999999955</v>
      </c>
      <c r="C16">
        <f t="shared" si="2"/>
        <v>0.45648060548722874</v>
      </c>
      <c r="E16">
        <v>0</v>
      </c>
      <c r="F16">
        <v>-6.0677925000000004E-3</v>
      </c>
      <c r="G16">
        <v>-2.2922250000000002E-3</v>
      </c>
      <c r="H16">
        <v>-8.6225000000000895E-4</v>
      </c>
      <c r="I16">
        <v>-3.3292500000000102E-3</v>
      </c>
      <c r="J16">
        <v>-5.5374999999999704E-3</v>
      </c>
      <c r="K16">
        <v>3.6172499999999599E-3</v>
      </c>
      <c r="L16">
        <v>5.6729999999999298E-3</v>
      </c>
      <c r="M16">
        <v>4.2395000000000601E-3</v>
      </c>
      <c r="N16">
        <v>5.9857499999999E-3</v>
      </c>
      <c r="O16">
        <v>7.8624999999999893E-3</v>
      </c>
      <c r="P16">
        <v>6.3069999999999498E-3</v>
      </c>
      <c r="Q16">
        <v>1.29024999999998E-2</v>
      </c>
      <c r="R16">
        <v>1.07499999999998E-2</v>
      </c>
      <c r="S16">
        <v>1.14775E-2</v>
      </c>
      <c r="T16">
        <v>1.6317499999999999E-2</v>
      </c>
      <c r="U16">
        <v>1.8167499999999899E-2</v>
      </c>
      <c r="V16">
        <v>1.302E-2</v>
      </c>
      <c r="W16">
        <v>0.1011625</v>
      </c>
      <c r="X16">
        <v>0.10524500000000001</v>
      </c>
      <c r="Y16">
        <v>0.11108999999999999</v>
      </c>
      <c r="Z16">
        <v>0.23733750000000001</v>
      </c>
      <c r="AA16">
        <v>0.24001500000000001</v>
      </c>
      <c r="AB16">
        <v>0.2392175</v>
      </c>
      <c r="AC16">
        <v>0.45596250000000099</v>
      </c>
      <c r="AD16">
        <v>0.45089750000000001</v>
      </c>
      <c r="AE16">
        <v>0.45456750000000001</v>
      </c>
      <c r="AF16">
        <v>0.592359999999999</v>
      </c>
      <c r="AG16">
        <v>0.59979000000000104</v>
      </c>
      <c r="AH16">
        <v>0.59814999999999996</v>
      </c>
      <c r="AI16">
        <v>0.93200499999999997</v>
      </c>
      <c r="AJ16">
        <v>0.93823000000000001</v>
      </c>
      <c r="AK16">
        <v>0.944532500000001</v>
      </c>
      <c r="AL16">
        <v>1.1204624999999999</v>
      </c>
      <c r="AM16">
        <v>1.1252625000000001</v>
      </c>
      <c r="AN16">
        <v>1.127515</v>
      </c>
      <c r="AO16">
        <v>1.2340875</v>
      </c>
      <c r="AP16">
        <v>1.24342</v>
      </c>
      <c r="AQ16">
        <v>1.2544900000000001</v>
      </c>
      <c r="AR16">
        <v>1.3638524999999999</v>
      </c>
      <c r="AS16">
        <v>1.3635524999999999</v>
      </c>
      <c r="AT16">
        <v>1.3745425</v>
      </c>
      <c r="AU16">
        <v>1.3745175000000001</v>
      </c>
      <c r="AV16">
        <v>1.3780675</v>
      </c>
      <c r="AW16">
        <v>1.3789875</v>
      </c>
      <c r="AX16">
        <v>1.38856</v>
      </c>
      <c r="AY16">
        <v>1.3878200000000001</v>
      </c>
      <c r="AZ16">
        <v>1.3939225</v>
      </c>
      <c r="BA16">
        <v>1.4131450000000001</v>
      </c>
      <c r="BB16">
        <v>1.413905</v>
      </c>
      <c r="BC16">
        <v>1.413135</v>
      </c>
      <c r="BD16">
        <v>1.4399850000000001</v>
      </c>
      <c r="BE16">
        <v>1.4545349999999999</v>
      </c>
      <c r="BF16">
        <v>1.4587275</v>
      </c>
      <c r="BG16">
        <v>1.4672425</v>
      </c>
      <c r="BH16">
        <v>1.4797875</v>
      </c>
      <c r="BI16">
        <v>1.4819500000000001</v>
      </c>
    </row>
    <row r="17" spans="1:61" x14ac:dyDescent="0.25">
      <c r="A17">
        <v>2.1043177892918798</v>
      </c>
      <c r="B17">
        <f t="shared" si="1"/>
        <v>2.4367999999999967</v>
      </c>
      <c r="C17">
        <f t="shared" si="2"/>
        <v>0.47521339461589029</v>
      </c>
      <c r="E17">
        <v>0</v>
      </c>
      <c r="F17">
        <v>-4.3099549999999999E-3</v>
      </c>
      <c r="G17">
        <v>-2.2948999999999999E-3</v>
      </c>
      <c r="H17">
        <v>-2.9940000000000001E-3</v>
      </c>
      <c r="I17">
        <v>1.14975000000006E-3</v>
      </c>
      <c r="J17">
        <v>-4.9000000000000198E-3</v>
      </c>
      <c r="K17">
        <v>2.4150000000000599E-3</v>
      </c>
      <c r="L17">
        <v>6.9784999999999396E-3</v>
      </c>
      <c r="M17">
        <v>5.2067499999999796E-3</v>
      </c>
      <c r="N17">
        <v>-1.2914999999999999E-3</v>
      </c>
      <c r="O17">
        <v>4.83075E-3</v>
      </c>
      <c r="P17">
        <v>-1.52749999999813E-4</v>
      </c>
      <c r="Q17">
        <v>5.6650000000000303E-3</v>
      </c>
      <c r="R17">
        <v>3.9550000000001502E-3</v>
      </c>
      <c r="S17">
        <v>4.5824999999999304E-3</v>
      </c>
      <c r="T17">
        <v>7.3375000000000003E-3</v>
      </c>
      <c r="U17">
        <v>9.4849999999999692E-3</v>
      </c>
      <c r="V17">
        <v>4.8524999999999298E-3</v>
      </c>
      <c r="W17">
        <v>5.2875000000001098E-3</v>
      </c>
      <c r="X17">
        <v>3.0049999999999201E-3</v>
      </c>
      <c r="Y17">
        <v>4.0575000000000498E-3</v>
      </c>
      <c r="Z17">
        <v>8.8457500000000105E-2</v>
      </c>
      <c r="AA17">
        <v>9.3472500000000305E-2</v>
      </c>
      <c r="AB17">
        <v>9.2435000000000003E-2</v>
      </c>
      <c r="AC17">
        <v>0.27041749999999998</v>
      </c>
      <c r="AD17">
        <v>0.27018999999999999</v>
      </c>
      <c r="AE17">
        <v>0.2742175</v>
      </c>
      <c r="AF17">
        <v>0.38173750000000001</v>
      </c>
      <c r="AG17">
        <v>0.38940999999999998</v>
      </c>
      <c r="AH17">
        <v>0.38970250000000001</v>
      </c>
      <c r="AI17">
        <v>0.71455500000000005</v>
      </c>
      <c r="AJ17">
        <v>0.72335499999999997</v>
      </c>
      <c r="AK17">
        <v>0.72977250000000005</v>
      </c>
      <c r="AL17">
        <v>0.96423250000000105</v>
      </c>
      <c r="AM17">
        <v>0.96742249999999996</v>
      </c>
      <c r="AN17">
        <v>0.97158999999999995</v>
      </c>
      <c r="AO17">
        <v>1.1078574999999999</v>
      </c>
      <c r="AP17">
        <v>1.1121799999999999</v>
      </c>
      <c r="AQ17">
        <v>1.12669</v>
      </c>
      <c r="AR17">
        <v>1.2436400000000001</v>
      </c>
      <c r="AS17">
        <v>1.2466025000000001</v>
      </c>
      <c r="AT17">
        <v>1.25162</v>
      </c>
      <c r="AU17">
        <v>1.2564525</v>
      </c>
      <c r="AV17">
        <v>1.2568699999999999</v>
      </c>
      <c r="AW17">
        <v>1.25885</v>
      </c>
      <c r="AX17">
        <v>1.2670925</v>
      </c>
      <c r="AY17">
        <v>1.2675974999999999</v>
      </c>
      <c r="AZ17">
        <v>1.2732699999999999</v>
      </c>
      <c r="BA17">
        <v>1.2882275000000001</v>
      </c>
      <c r="BB17">
        <v>1.2888599999999999</v>
      </c>
      <c r="BC17">
        <v>1.292055</v>
      </c>
      <c r="BD17">
        <v>1.3196075</v>
      </c>
      <c r="BE17">
        <v>1.3327225</v>
      </c>
      <c r="BF17">
        <v>1.343925</v>
      </c>
      <c r="BG17">
        <v>1.3504875000000001</v>
      </c>
      <c r="BH17">
        <v>1.3779325</v>
      </c>
      <c r="BI17">
        <v>1.3738575</v>
      </c>
    </row>
    <row r="18" spans="1:61" x14ac:dyDescent="0.25">
      <c r="A18">
        <v>2.01796200345423</v>
      </c>
      <c r="B18">
        <f t="shared" si="1"/>
        <v>2.3367999999999984</v>
      </c>
      <c r="C18">
        <f t="shared" si="2"/>
        <v>0.49554946935980865</v>
      </c>
      <c r="E18">
        <v>0</v>
      </c>
      <c r="F18">
        <v>-1.0766899999999999E-3</v>
      </c>
      <c r="G18">
        <v>-3.544925E-3</v>
      </c>
      <c r="H18">
        <v>-9.44674999999995E-3</v>
      </c>
      <c r="I18" s="7">
        <v>-6.6749999999948795E-5</v>
      </c>
      <c r="J18">
        <v>-8.92700000000002E-3</v>
      </c>
      <c r="K18">
        <v>-7.2799999999995102E-4</v>
      </c>
      <c r="L18">
        <v>1.6597500000000199E-3</v>
      </c>
      <c r="M18">
        <v>1.64474999999997E-3</v>
      </c>
      <c r="N18">
        <v>-8.8392500000000797E-3</v>
      </c>
      <c r="O18">
        <v>9.5974999999992605E-4</v>
      </c>
      <c r="P18">
        <v>-1.0168250000000101E-2</v>
      </c>
      <c r="Q18">
        <v>-2.5550000000000902E-3</v>
      </c>
      <c r="R18">
        <v>-2.39250000000002E-3</v>
      </c>
      <c r="S18">
        <v>-2.78249999999991E-3</v>
      </c>
      <c r="T18">
        <v>7.59999999999872E-4</v>
      </c>
      <c r="U18">
        <v>2.6425000000001001E-3</v>
      </c>
      <c r="V18">
        <v>-3.5099999999998999E-3</v>
      </c>
      <c r="W18">
        <v>-5.6824999999998101E-3</v>
      </c>
      <c r="X18">
        <v>-1.40175E-2</v>
      </c>
      <c r="Y18">
        <v>-1.3760000000000199E-2</v>
      </c>
      <c r="Z18">
        <v>3.8692499999999998E-2</v>
      </c>
      <c r="AA18">
        <v>4.5532500000000198E-2</v>
      </c>
      <c r="AB18">
        <v>4.37124999999998E-2</v>
      </c>
      <c r="AC18">
        <v>0.1925375</v>
      </c>
      <c r="AD18">
        <v>0.19950499999999999</v>
      </c>
      <c r="AE18">
        <v>0.20007249999999999</v>
      </c>
      <c r="AF18">
        <v>0.31004500000000002</v>
      </c>
      <c r="AG18">
        <v>0.31456250000000102</v>
      </c>
      <c r="AH18">
        <v>0.31953999999999999</v>
      </c>
      <c r="AI18">
        <v>0.63569500000000001</v>
      </c>
      <c r="AJ18">
        <v>0.64181999999999995</v>
      </c>
      <c r="AK18">
        <v>0.64519499999999996</v>
      </c>
      <c r="AL18">
        <v>0.86644750000000104</v>
      </c>
      <c r="AM18">
        <v>0.86711249999999995</v>
      </c>
      <c r="AN18">
        <v>0.86995499999999903</v>
      </c>
      <c r="AO18">
        <v>1.0141875</v>
      </c>
      <c r="AP18">
        <v>1.0218</v>
      </c>
      <c r="AQ18">
        <v>1.04535</v>
      </c>
      <c r="AR18">
        <v>1.1817325000000001</v>
      </c>
      <c r="AS18">
        <v>1.1895549999999999</v>
      </c>
      <c r="AT18">
        <v>1.1948875000000001</v>
      </c>
      <c r="AU18">
        <v>1.205335</v>
      </c>
      <c r="AV18">
        <v>1.212375</v>
      </c>
      <c r="AW18">
        <v>1.2177975000000001</v>
      </c>
      <c r="AX18">
        <v>1.2319225</v>
      </c>
      <c r="AY18">
        <v>1.233465</v>
      </c>
      <c r="AZ18">
        <v>1.2415350000000001</v>
      </c>
      <c r="BA18">
        <v>1.25786</v>
      </c>
      <c r="BB18">
        <v>1.2610275</v>
      </c>
      <c r="BC18">
        <v>1.265665</v>
      </c>
      <c r="BD18">
        <v>1.2997875000000001</v>
      </c>
      <c r="BE18">
        <v>1.3163324999999999</v>
      </c>
      <c r="BF18">
        <v>1.3470575</v>
      </c>
      <c r="BG18">
        <v>1.3619224999999999</v>
      </c>
      <c r="BH18">
        <v>1.434855</v>
      </c>
      <c r="BI18">
        <v>1.4792700000000001</v>
      </c>
    </row>
    <row r="19" spans="1:61" x14ac:dyDescent="0.25">
      <c r="A19">
        <v>1.93160621761658</v>
      </c>
      <c r="B19">
        <f t="shared" si="1"/>
        <v>2.2367999999999997</v>
      </c>
      <c r="C19">
        <f t="shared" si="2"/>
        <v>0.51770386266094426</v>
      </c>
      <c r="E19">
        <v>0</v>
      </c>
      <c r="F19">
        <v>-5.4112550000000002E-3</v>
      </c>
      <c r="G19">
        <v>-1.3029245E-2</v>
      </c>
      <c r="H19">
        <v>-1.558125E-2</v>
      </c>
      <c r="I19">
        <v>-5.78124999999996E-3</v>
      </c>
      <c r="J19">
        <v>-1.5747250000000001E-2</v>
      </c>
      <c r="K19">
        <v>-1.0222E-2</v>
      </c>
      <c r="L19">
        <v>-8.0004999999999694E-3</v>
      </c>
      <c r="M19">
        <v>-3.5477500000000699E-3</v>
      </c>
      <c r="N19">
        <v>-2.14187499999999E-2</v>
      </c>
      <c r="O19">
        <v>-6.3757499999998997E-3</v>
      </c>
      <c r="P19">
        <v>-2.5680000000000001E-2</v>
      </c>
      <c r="Q19">
        <v>-1.38625000000001E-2</v>
      </c>
      <c r="R19">
        <v>-1.09524999999999E-2</v>
      </c>
      <c r="S19">
        <v>-1.2880000000000001E-2</v>
      </c>
      <c r="T19">
        <v>-1.2040000000000099E-2</v>
      </c>
      <c r="U19">
        <v>-7.7150000000001401E-3</v>
      </c>
      <c r="V19">
        <v>-1.25974999999998E-2</v>
      </c>
      <c r="W19">
        <v>-9.8074999999997504E-3</v>
      </c>
      <c r="X19">
        <v>-2.5374999999999901E-2</v>
      </c>
      <c r="Y19">
        <v>-2.7345000000000199E-2</v>
      </c>
      <c r="Z19">
        <v>-2.3602499999999998E-2</v>
      </c>
      <c r="AA19">
        <v>-1.5920000000000399E-2</v>
      </c>
      <c r="AB19">
        <v>-1.678E-2</v>
      </c>
      <c r="AC19">
        <v>7.0292499999999897E-2</v>
      </c>
      <c r="AD19">
        <v>9.2399999999999594E-2</v>
      </c>
      <c r="AE19">
        <v>8.6450000000000096E-2</v>
      </c>
      <c r="AF19">
        <v>0.16089999999999999</v>
      </c>
      <c r="AG19">
        <v>0.16310749999999999</v>
      </c>
      <c r="AH19">
        <v>0.1680825</v>
      </c>
      <c r="AI19">
        <v>0.46521249999999997</v>
      </c>
      <c r="AJ19">
        <v>0.47035250000000001</v>
      </c>
      <c r="AK19">
        <v>0.47072000000000003</v>
      </c>
      <c r="AL19">
        <v>0.68006750000000105</v>
      </c>
      <c r="AM19">
        <v>0.67662750000000005</v>
      </c>
      <c r="AN19">
        <v>0.68091999999999997</v>
      </c>
      <c r="AO19">
        <v>0.86729999999999996</v>
      </c>
      <c r="AP19">
        <v>0.87634749999999995</v>
      </c>
      <c r="AQ19">
        <v>0.91288749999999996</v>
      </c>
      <c r="AR19">
        <v>1.1063400000000001</v>
      </c>
      <c r="AS19">
        <v>1.1225099999999999</v>
      </c>
      <c r="AT19">
        <v>1.1267799999999999</v>
      </c>
      <c r="AU19">
        <v>1.1509974999999999</v>
      </c>
      <c r="AV19">
        <v>1.17303</v>
      </c>
      <c r="AW19">
        <v>1.185125</v>
      </c>
      <c r="AX19">
        <v>1.2074625000000001</v>
      </c>
      <c r="AY19">
        <v>1.2116024999999999</v>
      </c>
      <c r="AZ19">
        <v>1.2262500000000001</v>
      </c>
      <c r="BA19">
        <v>1.250605</v>
      </c>
      <c r="BB19">
        <v>1.2553650000000001</v>
      </c>
      <c r="BC19">
        <v>1.2661249999999999</v>
      </c>
      <c r="BD19">
        <v>1.3217075</v>
      </c>
      <c r="BE19">
        <v>1.3448925</v>
      </c>
      <c r="BF19">
        <v>1.4131499999999999</v>
      </c>
      <c r="BG19">
        <v>1.4407399999999999</v>
      </c>
      <c r="BH19">
        <v>1.5990774999999999</v>
      </c>
      <c r="BI19">
        <v>1.7341175</v>
      </c>
    </row>
    <row r="20" spans="1:61" x14ac:dyDescent="0.25">
      <c r="A20">
        <v>1.84525043177893</v>
      </c>
      <c r="B20">
        <f t="shared" si="1"/>
        <v>2.1368000000000009</v>
      </c>
      <c r="C20">
        <f t="shared" si="2"/>
        <v>0.54193186072631949</v>
      </c>
      <c r="E20">
        <v>0</v>
      </c>
      <c r="F20">
        <v>-1.507256675E-2</v>
      </c>
      <c r="G20">
        <v>-2.5324369749999999E-2</v>
      </c>
      <c r="H20">
        <v>-2.3370249999999999E-2</v>
      </c>
      <c r="I20">
        <v>-6.0902500000000201E-3</v>
      </c>
      <c r="J20">
        <v>-2.1298000000000001E-2</v>
      </c>
      <c r="K20">
        <v>-1.619425E-2</v>
      </c>
      <c r="L20">
        <v>-1.549875E-2</v>
      </c>
      <c r="M20">
        <v>-9.9587500000000197E-3</v>
      </c>
      <c r="N20">
        <v>-3.2196500000000003E-2</v>
      </c>
      <c r="O20">
        <v>-8.0897500000000101E-3</v>
      </c>
      <c r="P20">
        <v>-3.8662000000000099E-2</v>
      </c>
      <c r="Q20">
        <v>-2.0904999999999702E-2</v>
      </c>
      <c r="R20">
        <v>-1.4845000000000001E-2</v>
      </c>
      <c r="S20">
        <v>-1.6037500000000201E-2</v>
      </c>
      <c r="T20">
        <v>-1.7682499999999799E-2</v>
      </c>
      <c r="U20">
        <v>-1.14624999999999E-2</v>
      </c>
      <c r="V20">
        <v>-1.5084999999999999E-2</v>
      </c>
      <c r="W20">
        <v>-7.9100000000000802E-3</v>
      </c>
      <c r="X20">
        <v>-3.24675000000001E-2</v>
      </c>
      <c r="Y20">
        <v>-3.9605000000000098E-2</v>
      </c>
      <c r="Z20">
        <v>-3.8997499999999997E-2</v>
      </c>
      <c r="AA20">
        <v>-3.21175E-2</v>
      </c>
      <c r="AB20">
        <v>-2.8157500000000099E-2</v>
      </c>
      <c r="AC20">
        <v>6.2575000000002498E-3</v>
      </c>
      <c r="AD20">
        <v>3.9282500000000102E-2</v>
      </c>
      <c r="AE20">
        <v>2.9842500000000001E-2</v>
      </c>
      <c r="AF20">
        <v>6.4732499999999901E-2</v>
      </c>
      <c r="AG20">
        <v>6.0505000000000003E-2</v>
      </c>
      <c r="AH20">
        <v>7.4395000000000405E-2</v>
      </c>
      <c r="AI20">
        <v>0.35358249999999902</v>
      </c>
      <c r="AJ20">
        <v>0.3587225</v>
      </c>
      <c r="AK20">
        <v>0.35348000000000002</v>
      </c>
      <c r="AL20">
        <v>0.55962250000000202</v>
      </c>
      <c r="AM20">
        <v>0.55212000000000006</v>
      </c>
      <c r="AN20">
        <v>0.55624500000000099</v>
      </c>
      <c r="AO20">
        <v>0.73661999999999905</v>
      </c>
      <c r="AP20">
        <v>0.74491249999999898</v>
      </c>
      <c r="AQ20">
        <v>0.79077750000000002</v>
      </c>
      <c r="AR20">
        <v>1.0061525</v>
      </c>
      <c r="AS20">
        <v>1.0321674999999999</v>
      </c>
      <c r="AT20">
        <v>1.0335624999999999</v>
      </c>
      <c r="AU20">
        <v>1.06873</v>
      </c>
      <c r="AV20">
        <v>1.0973575</v>
      </c>
      <c r="AW20">
        <v>1.1130424999999999</v>
      </c>
      <c r="AX20">
        <v>1.14171</v>
      </c>
      <c r="AY20">
        <v>1.14747</v>
      </c>
      <c r="AZ20">
        <v>1.17039</v>
      </c>
      <c r="BA20">
        <v>1.1922375000000001</v>
      </c>
      <c r="BB20">
        <v>1.1974050000000001</v>
      </c>
      <c r="BC20">
        <v>1.2130175000000001</v>
      </c>
      <c r="BD20">
        <v>1.2767550000000001</v>
      </c>
      <c r="BE20">
        <v>1.3050025000000001</v>
      </c>
      <c r="BF20">
        <v>1.3956975</v>
      </c>
      <c r="BG20">
        <v>1.4237249999999999</v>
      </c>
      <c r="BH20">
        <v>1.6314550000000001</v>
      </c>
      <c r="BI20">
        <v>1.7961050000000001</v>
      </c>
    </row>
    <row r="24" spans="1:61" x14ac:dyDescent="0.25">
      <c r="D24" s="2" t="str">
        <f>D1</f>
        <v>P [kN]</v>
      </c>
      <c r="E24">
        <f>MAX($E1:E1)</f>
        <v>0</v>
      </c>
      <c r="F24">
        <f>MAX($E1:F1)</f>
        <v>0</v>
      </c>
      <c r="G24">
        <f>MAX($E1:G1)</f>
        <v>0</v>
      </c>
      <c r="H24">
        <f>MAX($E1:H1)</f>
        <v>49</v>
      </c>
      <c r="I24">
        <f>MAX($E1:I1)</f>
        <v>49</v>
      </c>
      <c r="J24">
        <f>MAX($E1:J1)</f>
        <v>49</v>
      </c>
      <c r="K24">
        <f>MAX($E1:K1)</f>
        <v>100</v>
      </c>
      <c r="L24">
        <f>MAX($E1:L1)</f>
        <v>100</v>
      </c>
      <c r="M24">
        <f>MAX($E1:M1)</f>
        <v>100</v>
      </c>
      <c r="N24">
        <f>MAX($E1:N1)</f>
        <v>100</v>
      </c>
      <c r="O24">
        <f>MAX($E1:O1)</f>
        <v>100</v>
      </c>
      <c r="P24">
        <f>MAX($E1:P1)</f>
        <v>100</v>
      </c>
      <c r="Q24">
        <f>MAX($E1:Q1)</f>
        <v>133</v>
      </c>
      <c r="R24">
        <f>MAX($E1:R1)</f>
        <v>134</v>
      </c>
      <c r="S24">
        <f>MAX($E1:S1)</f>
        <v>134</v>
      </c>
      <c r="T24">
        <f>MAX($E1:T1)</f>
        <v>134</v>
      </c>
      <c r="U24">
        <f>MAX($E1:U1)</f>
        <v>134</v>
      </c>
      <c r="V24">
        <f>MAX($E1:V1)</f>
        <v>134</v>
      </c>
      <c r="W24">
        <f>MAX($E1:W1)</f>
        <v>152</v>
      </c>
      <c r="X24">
        <f>MAX($E1:X1)</f>
        <v>152</v>
      </c>
      <c r="Y24">
        <f>MAX($E1:Y1)</f>
        <v>152</v>
      </c>
      <c r="Z24">
        <f>MAX($E1:Z1)</f>
        <v>174</v>
      </c>
      <c r="AA24">
        <f>MAX($E1:AA1)</f>
        <v>174</v>
      </c>
      <c r="AB24">
        <f>MAX($E1:AB1)</f>
        <v>174</v>
      </c>
      <c r="AC24">
        <f>MAX($E1:AC1)</f>
        <v>200</v>
      </c>
      <c r="AD24">
        <f>MAX($E1:AD1)</f>
        <v>200</v>
      </c>
      <c r="AE24">
        <f>MAX($E1:AE1)</f>
        <v>200</v>
      </c>
      <c r="AF24">
        <f>MAX($E1:AF1)</f>
        <v>225</v>
      </c>
      <c r="AG24">
        <f>MAX($E1:AG1)</f>
        <v>225</v>
      </c>
      <c r="AH24">
        <f>MAX($E1:AH1)</f>
        <v>225</v>
      </c>
      <c r="AI24">
        <f>MAX($E1:AI1)</f>
        <v>247</v>
      </c>
      <c r="AJ24">
        <f>MAX($E1:AJ1)</f>
        <v>247</v>
      </c>
      <c r="AK24">
        <f>MAX($E1:AK1)</f>
        <v>247</v>
      </c>
      <c r="AL24">
        <f>MAX($E1:AL1)</f>
        <v>275</v>
      </c>
      <c r="AM24">
        <f>MAX($E1:AM1)</f>
        <v>275</v>
      </c>
      <c r="AN24">
        <f>MAX($E1:AN1)</f>
        <v>275</v>
      </c>
      <c r="AO24">
        <f>MAX($E1:AO1)</f>
        <v>290</v>
      </c>
      <c r="AP24">
        <f>MAX($E1:AP1)</f>
        <v>290</v>
      </c>
      <c r="AQ24">
        <f>MAX($E1:AQ1)</f>
        <v>290</v>
      </c>
      <c r="AR24">
        <f>MAX($E1:AR1)</f>
        <v>297</v>
      </c>
      <c r="AS24">
        <f>MAX($E1:AS1)</f>
        <v>297</v>
      </c>
      <c r="AT24">
        <f>MAX($E1:AT1)</f>
        <v>297</v>
      </c>
      <c r="AU24">
        <f>MAX($E1:AU1)</f>
        <v>297</v>
      </c>
      <c r="AV24">
        <f>MAX($E1:AV1)</f>
        <v>298</v>
      </c>
      <c r="AW24">
        <f>MAX($E1:AW1)</f>
        <v>298</v>
      </c>
      <c r="AX24">
        <f>MAX($E1:AX1)</f>
        <v>298</v>
      </c>
      <c r="AY24">
        <f>MAX($E1:AY1)</f>
        <v>298</v>
      </c>
      <c r="AZ24">
        <f>MAX($E1:AZ1)</f>
        <v>298</v>
      </c>
      <c r="BA24">
        <f>MAX($E1:BA1)</f>
        <v>300</v>
      </c>
      <c r="BB24">
        <f>MAX($E1:BB1)</f>
        <v>300</v>
      </c>
      <c r="BC24">
        <f>MAX($E1:BC1)</f>
        <v>300</v>
      </c>
      <c r="BD24">
        <f>MAX($E1:BD1)</f>
        <v>304</v>
      </c>
      <c r="BE24">
        <f>MAX($E1:BE1)</f>
        <v>305</v>
      </c>
      <c r="BF24">
        <f>MAX($E1:BF1)</f>
        <v>306</v>
      </c>
      <c r="BG24">
        <f>MAX($E1:BG1)</f>
        <v>306</v>
      </c>
      <c r="BH24">
        <f>MAX($E1:BH1)</f>
        <v>306</v>
      </c>
      <c r="BI24">
        <f>MAX($E1:BI1)</f>
        <v>306</v>
      </c>
    </row>
    <row r="25" spans="1:61" x14ac:dyDescent="0.25">
      <c r="A25" s="2" t="str">
        <f t="shared" ref="A25:C26" si="3">A2</f>
        <v>M/(Vd)</v>
      </c>
      <c r="B25" s="2" t="str">
        <f t="shared" si="3"/>
        <v>x</v>
      </c>
      <c r="C25" s="2" t="str">
        <f t="shared" si="3"/>
        <v>Vd/M</v>
      </c>
      <c r="D25" s="2" t="str">
        <f>D2</f>
        <v>V [kN]</v>
      </c>
      <c r="E25">
        <f>MAX($E2:E2)</f>
        <v>30</v>
      </c>
      <c r="F25">
        <f>MAX($E2:F2)</f>
        <v>30</v>
      </c>
      <c r="G25">
        <f>MAX($E2:G2)</f>
        <v>30</v>
      </c>
      <c r="H25">
        <f>MAX($E2:H2)</f>
        <v>54.5</v>
      </c>
      <c r="I25">
        <f>MAX($E2:I2)</f>
        <v>54.5</v>
      </c>
      <c r="J25">
        <f>MAX($E2:J2)</f>
        <v>54.5</v>
      </c>
      <c r="K25">
        <f>MAX($E2:K2)</f>
        <v>80</v>
      </c>
      <c r="L25">
        <f>MAX($E2:L2)</f>
        <v>80</v>
      </c>
      <c r="M25">
        <f>MAX($E2:M2)</f>
        <v>80</v>
      </c>
      <c r="N25">
        <f>MAX($E2:N2)</f>
        <v>80</v>
      </c>
      <c r="O25">
        <f>MAX($E2:O2)</f>
        <v>80</v>
      </c>
      <c r="P25">
        <f>MAX($E2:P2)</f>
        <v>80</v>
      </c>
      <c r="Q25">
        <f>MAX($E2:Q2)</f>
        <v>96.5</v>
      </c>
      <c r="R25">
        <f>MAX($E2:R2)</f>
        <v>97</v>
      </c>
      <c r="S25">
        <f>MAX($E2:S2)</f>
        <v>97</v>
      </c>
      <c r="T25">
        <f>MAX($E2:T2)</f>
        <v>97</v>
      </c>
      <c r="U25">
        <f>MAX($E2:U2)</f>
        <v>97</v>
      </c>
      <c r="V25">
        <f>MAX($E2:V2)</f>
        <v>97</v>
      </c>
      <c r="W25">
        <f>MAX($E2:W2)</f>
        <v>106</v>
      </c>
      <c r="X25">
        <f>MAX($E2:X2)</f>
        <v>106</v>
      </c>
      <c r="Y25">
        <f>MAX($E2:Y2)</f>
        <v>106</v>
      </c>
      <c r="Z25">
        <f>MAX($E2:Z2)</f>
        <v>117</v>
      </c>
      <c r="AA25">
        <f>MAX($E2:AA2)</f>
        <v>117</v>
      </c>
      <c r="AB25">
        <f>MAX($E2:AB2)</f>
        <v>117</v>
      </c>
      <c r="AC25">
        <f>MAX($E2:AC2)</f>
        <v>130</v>
      </c>
      <c r="AD25">
        <f>MAX($E2:AD2)</f>
        <v>130</v>
      </c>
      <c r="AE25">
        <f>MAX($E2:AE2)</f>
        <v>130</v>
      </c>
      <c r="AF25">
        <f>MAX($E2:AF2)</f>
        <v>142.5</v>
      </c>
      <c r="AG25">
        <f>MAX($E2:AG2)</f>
        <v>142.5</v>
      </c>
      <c r="AH25">
        <f>MAX($E2:AH2)</f>
        <v>142.5</v>
      </c>
      <c r="AI25">
        <f>MAX($E2:AI2)</f>
        <v>153.5</v>
      </c>
      <c r="AJ25">
        <f>MAX($E2:AJ2)</f>
        <v>153.5</v>
      </c>
      <c r="AK25">
        <f>MAX($E2:AK2)</f>
        <v>153.5</v>
      </c>
      <c r="AL25">
        <f>MAX($E2:AL2)</f>
        <v>167.5</v>
      </c>
      <c r="AM25">
        <f>MAX($E2:AM2)</f>
        <v>167.5</v>
      </c>
      <c r="AN25">
        <f>MAX($E2:AN2)</f>
        <v>167.5</v>
      </c>
      <c r="AO25">
        <f>MAX($E2:AO2)</f>
        <v>175</v>
      </c>
      <c r="AP25">
        <f>MAX($E2:AP2)</f>
        <v>175</v>
      </c>
      <c r="AQ25">
        <f>MAX($E2:AQ2)</f>
        <v>175</v>
      </c>
      <c r="AR25">
        <f>MAX($E2:AR2)</f>
        <v>178.5</v>
      </c>
      <c r="AS25">
        <f>MAX($E2:AS2)</f>
        <v>178.5</v>
      </c>
      <c r="AT25">
        <f>MAX($E2:AT2)</f>
        <v>178.5</v>
      </c>
      <c r="AU25">
        <f>MAX($E2:AU2)</f>
        <v>178.5</v>
      </c>
      <c r="AV25">
        <f>MAX($E2:AV2)</f>
        <v>179</v>
      </c>
      <c r="AW25">
        <f>MAX($E2:AW2)</f>
        <v>179</v>
      </c>
      <c r="AX25">
        <f>MAX($E2:AX2)</f>
        <v>179</v>
      </c>
      <c r="AY25">
        <f>MAX($E2:AY2)</f>
        <v>179</v>
      </c>
      <c r="AZ25">
        <f>MAX($E2:AZ2)</f>
        <v>179</v>
      </c>
      <c r="BA25">
        <f>MAX($E2:BA2)</f>
        <v>180</v>
      </c>
      <c r="BB25">
        <f>MAX($E2:BB2)</f>
        <v>180</v>
      </c>
      <c r="BC25">
        <f>MAX($E2:BC2)</f>
        <v>180</v>
      </c>
      <c r="BD25">
        <f>MAX($E2:BD2)</f>
        <v>182</v>
      </c>
      <c r="BE25">
        <f>MAX($E2:BE2)</f>
        <v>182.5</v>
      </c>
      <c r="BF25">
        <f>MAX($E2:BF2)</f>
        <v>183</v>
      </c>
      <c r="BG25">
        <f>MAX($E2:BG2)</f>
        <v>183</v>
      </c>
      <c r="BH25">
        <f>MAX($E2:BH2)</f>
        <v>183</v>
      </c>
      <c r="BI25">
        <f>MAX($E2:BI2)</f>
        <v>183</v>
      </c>
    </row>
    <row r="26" spans="1:61" x14ac:dyDescent="0.25">
      <c r="A26">
        <f>A3</f>
        <v>3.3132987910190002</v>
      </c>
      <c r="B26">
        <f t="shared" si="3"/>
        <v>3.836800000000002</v>
      </c>
      <c r="C26">
        <f t="shared" si="3"/>
        <v>0.30181401167639682</v>
      </c>
      <c r="E26">
        <f>MAX($E3:E3)</f>
        <v>0</v>
      </c>
      <c r="F26">
        <f>MAX($E3:F3)</f>
        <v>2.5575082499999999E-3</v>
      </c>
      <c r="G26">
        <f>MAX($E3:G3)</f>
        <v>2.5575082499999999E-3</v>
      </c>
      <c r="H26">
        <f>MAX($E3:H3)</f>
        <v>2.9159500000000099E-2</v>
      </c>
      <c r="I26">
        <f>MAX($E3:I3)</f>
        <v>2.9159500000000099E-2</v>
      </c>
      <c r="J26">
        <f>MAX($E3:J3)</f>
        <v>3.3911999999999901E-2</v>
      </c>
      <c r="K26">
        <f>MAX($E3:K3)</f>
        <v>3.5939500000000103E-2</v>
      </c>
      <c r="L26">
        <f>MAX($E3:L3)</f>
        <v>4.7690499999999997E-2</v>
      </c>
      <c r="M26">
        <f>MAX($E3:M3)</f>
        <v>4.7690499999999997E-2</v>
      </c>
      <c r="N26">
        <f>MAX($E3:N3)</f>
        <v>8.8887749999999904E-2</v>
      </c>
      <c r="O26">
        <f>MAX($E3:O3)</f>
        <v>8.8887749999999904E-2</v>
      </c>
      <c r="P26">
        <f>MAX($E3:P3)</f>
        <v>8.8887749999999904E-2</v>
      </c>
      <c r="Q26">
        <f>MAX($E3:Q3)</f>
        <v>0.29649199999999998</v>
      </c>
      <c r="R26">
        <f>MAX($E3:R3)</f>
        <v>0.30921399999999999</v>
      </c>
      <c r="S26">
        <f>MAX($E3:S3)</f>
        <v>0.30921399999999999</v>
      </c>
      <c r="T26">
        <f>MAX($E3:T3)</f>
        <v>0.57692500000000002</v>
      </c>
      <c r="U26">
        <f>MAX($E3:U3)</f>
        <v>0.59200050000000004</v>
      </c>
      <c r="V26">
        <f>MAX($E3:V3)</f>
        <v>0.59200050000000004</v>
      </c>
      <c r="W26">
        <f>MAX($E3:W3)</f>
        <v>0.93832475000000004</v>
      </c>
      <c r="X26">
        <f>MAX($E3:X3)</f>
        <v>0.95066399999999995</v>
      </c>
      <c r="Y26">
        <f>MAX($E3:Y3)</f>
        <v>0.95246500000000001</v>
      </c>
      <c r="Z26">
        <f>MAX($E3:Z3)</f>
        <v>1.0443677499999999</v>
      </c>
      <c r="AA26">
        <f>MAX($E3:AA3)</f>
        <v>1.0443677499999999</v>
      </c>
      <c r="AB26">
        <f>MAX($E3:AB3)</f>
        <v>1.0443677499999999</v>
      </c>
      <c r="AC26">
        <f>MAX($E3:AC3)</f>
        <v>1.1792180000000001</v>
      </c>
      <c r="AD26">
        <f>MAX($E3:AD3)</f>
        <v>1.182072</v>
      </c>
      <c r="AE26">
        <f>MAX($E3:AE3)</f>
        <v>1.182072</v>
      </c>
      <c r="AF26">
        <f>MAX($E3:AF3)</f>
        <v>1.3597524999999999</v>
      </c>
      <c r="AG26">
        <f>MAX($E3:AG3)</f>
        <v>1.3597524999999999</v>
      </c>
      <c r="AH26">
        <f>MAX($E3:AH3)</f>
        <v>1.3597524999999999</v>
      </c>
      <c r="AI26">
        <f>MAX($E3:AI3)</f>
        <v>1.5193175000000001</v>
      </c>
      <c r="AJ26">
        <f>MAX($E3:AJ3)</f>
        <v>1.5223225</v>
      </c>
      <c r="AK26">
        <f>MAX($E3:AK3)</f>
        <v>1.5223225</v>
      </c>
      <c r="AL26">
        <f>MAX($E3:AL3)</f>
        <v>1.7078225</v>
      </c>
      <c r="AM26">
        <f>MAX($E3:AM3)</f>
        <v>1.7078225</v>
      </c>
      <c r="AN26">
        <f>MAX($E3:AN3)</f>
        <v>1.710475</v>
      </c>
      <c r="AO26">
        <f>MAX($E3:AO3)</f>
        <v>1.8260425</v>
      </c>
      <c r="AP26">
        <f>MAX($E3:AP3)</f>
        <v>1.8260425</v>
      </c>
      <c r="AQ26">
        <f>MAX($E3:AQ3)</f>
        <v>1.8260425</v>
      </c>
      <c r="AR26">
        <f>MAX($E3:AR3)</f>
        <v>1.8754325000000001</v>
      </c>
      <c r="AS26">
        <f>MAX($E3:AS3)</f>
        <v>1.8765449999999999</v>
      </c>
      <c r="AT26">
        <f>MAX($E3:AT3)</f>
        <v>1.8824574999999999</v>
      </c>
      <c r="AU26">
        <f>MAX($E3:AU3)</f>
        <v>1.8824574999999999</v>
      </c>
      <c r="AV26">
        <f>MAX($E3:AV3)</f>
        <v>1.8824574999999999</v>
      </c>
      <c r="AW26">
        <f>MAX($E3:AW3)</f>
        <v>1.8824574999999999</v>
      </c>
      <c r="AX26">
        <f>MAX($E3:AX3)</f>
        <v>1.8824574999999999</v>
      </c>
      <c r="AY26">
        <f>MAX($E3:AY3)</f>
        <v>1.8824574999999999</v>
      </c>
      <c r="AZ26">
        <f>MAX($E3:AZ3)</f>
        <v>1.8824574999999999</v>
      </c>
      <c r="BA26">
        <f>MAX($E3:BA3)</f>
        <v>1.8944099999999999</v>
      </c>
      <c r="BB26">
        <f>MAX($E3:BB3)</f>
        <v>1.8956500000000001</v>
      </c>
      <c r="BC26">
        <f>MAX($E3:BC3)</f>
        <v>1.8956500000000001</v>
      </c>
      <c r="BD26">
        <f>MAX($E3:BD3)</f>
        <v>1.9292199999999999</v>
      </c>
      <c r="BE26">
        <f>MAX($E3:BE3)</f>
        <v>1.9331324999999999</v>
      </c>
      <c r="BF26">
        <f>MAX($E3:BF3)</f>
        <v>1.9331324999999999</v>
      </c>
      <c r="BG26">
        <f>MAX($E3:BG3)</f>
        <v>1.9331324999999999</v>
      </c>
      <c r="BH26">
        <f>MAX($E3:BH3)</f>
        <v>1.9331324999999999</v>
      </c>
      <c r="BI26">
        <f>MAX($E3:BI3)</f>
        <v>1.9331324999999999</v>
      </c>
    </row>
    <row r="27" spans="1:61" x14ac:dyDescent="0.25">
      <c r="A27">
        <f t="shared" ref="A27:C42" si="4">A4</f>
        <v>3.2269430051813499</v>
      </c>
      <c r="B27">
        <f t="shared" si="4"/>
        <v>3.7368000000000028</v>
      </c>
      <c r="C27">
        <f t="shared" si="4"/>
        <v>0.30989081567116222</v>
      </c>
      <c r="E27">
        <f>MAX($E4:E4)</f>
        <v>0</v>
      </c>
      <c r="F27">
        <f>MAX($E4:F4)</f>
        <v>2.3310574999999998E-3</v>
      </c>
      <c r="G27">
        <f>MAX($E4:G4)</f>
        <v>2.3310574999999998E-3</v>
      </c>
      <c r="H27">
        <f>MAX($E4:H4)</f>
        <v>2.6953250000000002E-2</v>
      </c>
      <c r="I27">
        <f>MAX($E4:I4)</f>
        <v>2.6953250000000002E-2</v>
      </c>
      <c r="J27">
        <f>MAX($E4:J4)</f>
        <v>2.8552000000000001E-2</v>
      </c>
      <c r="K27">
        <f>MAX($E4:K4)</f>
        <v>3.8683500000000003E-2</v>
      </c>
      <c r="L27">
        <f>MAX($E4:L4)</f>
        <v>4.6971249999999999E-2</v>
      </c>
      <c r="M27">
        <f>MAX($E4:M4)</f>
        <v>4.6971249999999999E-2</v>
      </c>
      <c r="N27">
        <f>MAX($E4:N4)</f>
        <v>8.4267750000000002E-2</v>
      </c>
      <c r="O27">
        <f>MAX($E4:O4)</f>
        <v>8.4267750000000002E-2</v>
      </c>
      <c r="P27">
        <f>MAX($E4:P4)</f>
        <v>8.4267750000000002E-2</v>
      </c>
      <c r="Q27">
        <f>MAX($E4:Q4)</f>
        <v>0.28022350000000001</v>
      </c>
      <c r="R27">
        <f>MAX($E4:R4)</f>
        <v>0.29245975000000002</v>
      </c>
      <c r="S27">
        <f>MAX($E4:S4)</f>
        <v>0.29245975000000002</v>
      </c>
      <c r="T27">
        <f>MAX($E4:T4)</f>
        <v>0.56185574999999999</v>
      </c>
      <c r="U27">
        <f>MAX($E4:U4)</f>
        <v>0.57473275000000001</v>
      </c>
      <c r="V27">
        <f>MAX($E4:V4)</f>
        <v>0.57473275000000001</v>
      </c>
      <c r="W27">
        <f>MAX($E4:W4)</f>
        <v>0.92202424999999999</v>
      </c>
      <c r="X27">
        <f>MAX($E4:X4)</f>
        <v>0.92862875</v>
      </c>
      <c r="Y27">
        <f>MAX($E4:Y4)</f>
        <v>0.93181000000000003</v>
      </c>
      <c r="Z27">
        <f>MAX($E4:Z4)</f>
        <v>1.01871775</v>
      </c>
      <c r="AA27">
        <f>MAX($E4:AA4)</f>
        <v>1.01871775</v>
      </c>
      <c r="AB27">
        <f>MAX($E4:AB4)</f>
        <v>1.01871775</v>
      </c>
      <c r="AC27">
        <f>MAX($E4:AC4)</f>
        <v>1.1531564999999999</v>
      </c>
      <c r="AD27">
        <f>MAX($E4:AD4)</f>
        <v>1.15535575</v>
      </c>
      <c r="AE27">
        <f>MAX($E4:AE4)</f>
        <v>1.15535575</v>
      </c>
      <c r="AF27">
        <f>MAX($E4:AF4)</f>
        <v>1.3251925</v>
      </c>
      <c r="AG27">
        <f>MAX($E4:AG4)</f>
        <v>1.3251925</v>
      </c>
      <c r="AH27">
        <f>MAX($E4:AH4)</f>
        <v>1.3251925</v>
      </c>
      <c r="AI27">
        <f>MAX($E4:AI4)</f>
        <v>1.4852650000000001</v>
      </c>
      <c r="AJ27">
        <f>MAX($E4:AJ4)</f>
        <v>1.4898899999999999</v>
      </c>
      <c r="AK27">
        <f>MAX($E4:AK4)</f>
        <v>1.4901825</v>
      </c>
      <c r="AL27">
        <f>MAX($E4:AL4)</f>
        <v>1.66747</v>
      </c>
      <c r="AM27">
        <f>MAX($E4:AM4)</f>
        <v>1.66747</v>
      </c>
      <c r="AN27">
        <f>MAX($E4:AN4)</f>
        <v>1.6749624999999999</v>
      </c>
      <c r="AO27">
        <f>MAX($E4:AO4)</f>
        <v>1.7830925</v>
      </c>
      <c r="AP27">
        <f>MAX($E4:AP4)</f>
        <v>1.7830925</v>
      </c>
      <c r="AQ27">
        <f>MAX($E4:AQ4)</f>
        <v>1.7830925</v>
      </c>
      <c r="AR27">
        <f>MAX($E4:AR4)</f>
        <v>1.8413349999999999</v>
      </c>
      <c r="AS27">
        <f>MAX($E4:AS4)</f>
        <v>1.8413349999999999</v>
      </c>
      <c r="AT27">
        <f>MAX($E4:AT4)</f>
        <v>1.8451375000000001</v>
      </c>
      <c r="AU27">
        <f>MAX($E4:AU4)</f>
        <v>1.8451375000000001</v>
      </c>
      <c r="AV27">
        <f>MAX($E4:AV4)</f>
        <v>1.8451375000000001</v>
      </c>
      <c r="AW27">
        <f>MAX($E4:AW4)</f>
        <v>1.8451375000000001</v>
      </c>
      <c r="AX27">
        <f>MAX($E4:AX4)</f>
        <v>1.8451375000000001</v>
      </c>
      <c r="AY27">
        <f>MAX($E4:AY4)</f>
        <v>1.8451375000000001</v>
      </c>
      <c r="AZ27">
        <f>MAX($E4:AZ4)</f>
        <v>1.845645</v>
      </c>
      <c r="BA27">
        <f>MAX($E4:BA4)</f>
        <v>1.8618425000000001</v>
      </c>
      <c r="BB27">
        <f>MAX($E4:BB4)</f>
        <v>1.8618425000000001</v>
      </c>
      <c r="BC27">
        <f>MAX($E4:BC4)</f>
        <v>1.8618425000000001</v>
      </c>
      <c r="BD27">
        <f>MAX($E4:BD4)</f>
        <v>1.8924300000000001</v>
      </c>
      <c r="BE27">
        <f>MAX($E4:BE4)</f>
        <v>1.8981375</v>
      </c>
      <c r="BF27">
        <f>MAX($E4:BF4)</f>
        <v>1.8981375</v>
      </c>
      <c r="BG27">
        <f>MAX($E4:BG4)</f>
        <v>1.8981375</v>
      </c>
      <c r="BH27">
        <f>MAX($E4:BH4)</f>
        <v>1.8981375</v>
      </c>
      <c r="BI27">
        <f>MAX($E4:BI4)</f>
        <v>1.8981375</v>
      </c>
    </row>
    <row r="28" spans="1:61" x14ac:dyDescent="0.25">
      <c r="A28">
        <f t="shared" si="4"/>
        <v>3.1405872193437001</v>
      </c>
      <c r="B28">
        <f t="shared" si="4"/>
        <v>3.6368000000000045</v>
      </c>
      <c r="C28">
        <f t="shared" si="4"/>
        <v>0.31841179058512936</v>
      </c>
      <c r="E28">
        <f>MAX($E5:E5)</f>
        <v>0</v>
      </c>
      <c r="F28">
        <f>MAX($E5:F5)</f>
        <v>6.7694427500000001E-3</v>
      </c>
      <c r="G28">
        <f>MAX($E5:G5)</f>
        <v>6.7694427500000001E-3</v>
      </c>
      <c r="H28">
        <f>MAX($E5:H5)</f>
        <v>2.6115749999999899E-2</v>
      </c>
      <c r="I28">
        <f>MAX($E5:I5)</f>
        <v>2.6115749999999899E-2</v>
      </c>
      <c r="J28">
        <f>MAX($E5:J5)</f>
        <v>2.6693749999999999E-2</v>
      </c>
      <c r="K28">
        <f>MAX($E5:K5)</f>
        <v>3.8106500000000001E-2</v>
      </c>
      <c r="L28">
        <f>MAX($E5:L5)</f>
        <v>4.3491250000000002E-2</v>
      </c>
      <c r="M28">
        <f>MAX($E5:M5)</f>
        <v>4.3491250000000002E-2</v>
      </c>
      <c r="N28">
        <f>MAX($E5:N5)</f>
        <v>7.5232499999999994E-2</v>
      </c>
      <c r="O28">
        <f>MAX($E5:O5)</f>
        <v>7.5232499999999994E-2</v>
      </c>
      <c r="P28">
        <f>MAX($E5:P5)</f>
        <v>7.5232499999999994E-2</v>
      </c>
      <c r="Q28">
        <f>MAX($E5:Q5)</f>
        <v>0.17529924999999999</v>
      </c>
      <c r="R28">
        <f>MAX($E5:R5)</f>
        <v>0.1837355</v>
      </c>
      <c r="S28">
        <f>MAX($E5:S5)</f>
        <v>0.1837355</v>
      </c>
      <c r="T28">
        <f>MAX($E5:T5)</f>
        <v>0.43191574999999999</v>
      </c>
      <c r="U28">
        <f>MAX($E5:U5)</f>
        <v>0.44183525000000001</v>
      </c>
      <c r="V28">
        <f>MAX($E5:V5)</f>
        <v>0.44183525000000001</v>
      </c>
      <c r="W28">
        <f>MAX($E5:W5)</f>
        <v>0.77210500000000004</v>
      </c>
      <c r="X28">
        <f>MAX($E5:X5)</f>
        <v>0.77712674999999998</v>
      </c>
      <c r="Y28">
        <f>MAX($E5:Y5)</f>
        <v>0.78284074999999997</v>
      </c>
      <c r="Z28">
        <f>MAX($E5:Z5)</f>
        <v>0.85288900000000001</v>
      </c>
      <c r="AA28">
        <f>MAX($E5:AA5)</f>
        <v>0.85288900000000001</v>
      </c>
      <c r="AB28">
        <f>MAX($E5:AB5)</f>
        <v>0.85288900000000001</v>
      </c>
      <c r="AC28">
        <f>MAX($E5:AC5)</f>
        <v>0.96924125000000005</v>
      </c>
      <c r="AD28">
        <f>MAX($E5:AD5)</f>
        <v>0.96924125000000005</v>
      </c>
      <c r="AE28">
        <f>MAX($E5:AE5)</f>
        <v>0.96924125000000005</v>
      </c>
      <c r="AF28">
        <f>MAX($E5:AF5)</f>
        <v>1.113605</v>
      </c>
      <c r="AG28">
        <f>MAX($E5:AG5)</f>
        <v>1.1153525</v>
      </c>
      <c r="AH28">
        <f>MAX($E5:AH5)</f>
        <v>1.116465</v>
      </c>
      <c r="AI28">
        <f>MAX($E5:AI5)</f>
        <v>1.2531950000000001</v>
      </c>
      <c r="AJ28">
        <f>MAX($E5:AJ5)</f>
        <v>1.2562475</v>
      </c>
      <c r="AK28">
        <f>MAX($E5:AK5)</f>
        <v>1.2593274999999999</v>
      </c>
      <c r="AL28">
        <f>MAX($E5:AL5)</f>
        <v>1.404925</v>
      </c>
      <c r="AM28">
        <f>MAX($E5:AM5)</f>
        <v>1.40987</v>
      </c>
      <c r="AN28">
        <f>MAX($E5:AN5)</f>
        <v>1.4157025000000001</v>
      </c>
      <c r="AO28">
        <f>MAX($E5:AO5)</f>
        <v>1.5083025000000001</v>
      </c>
      <c r="AP28">
        <f>MAX($E5:AP5)</f>
        <v>1.512405</v>
      </c>
      <c r="AQ28">
        <f>MAX($E5:AQ5)</f>
        <v>1.512405</v>
      </c>
      <c r="AR28">
        <f>MAX($E5:AR5)</f>
        <v>1.5660075</v>
      </c>
      <c r="AS28">
        <f>MAX($E5:AS5)</f>
        <v>1.5660075</v>
      </c>
      <c r="AT28">
        <f>MAX($E5:AT5)</f>
        <v>1.5721149999999999</v>
      </c>
      <c r="AU28">
        <f>MAX($E5:AU5)</f>
        <v>1.5721149999999999</v>
      </c>
      <c r="AV28">
        <f>MAX($E5:AV5)</f>
        <v>1.5721149999999999</v>
      </c>
      <c r="AW28">
        <f>MAX($E5:AW5)</f>
        <v>1.5721149999999999</v>
      </c>
      <c r="AX28">
        <f>MAX($E5:AX5)</f>
        <v>1.5721149999999999</v>
      </c>
      <c r="AY28">
        <f>MAX($E5:AY5)</f>
        <v>1.5721149999999999</v>
      </c>
      <c r="AZ28">
        <f>MAX($E5:AZ5)</f>
        <v>1.5721149999999999</v>
      </c>
      <c r="BA28">
        <f>MAX($E5:BA5)</f>
        <v>1.5869575</v>
      </c>
      <c r="BB28">
        <f>MAX($E5:BB5)</f>
        <v>1.5869575</v>
      </c>
      <c r="BC28">
        <f>MAX($E5:BC5)</f>
        <v>1.5869575</v>
      </c>
      <c r="BD28">
        <f>MAX($E5:BD5)</f>
        <v>1.609375</v>
      </c>
      <c r="BE28">
        <f>MAX($E5:BE5)</f>
        <v>1.615545</v>
      </c>
      <c r="BF28">
        <f>MAX($E5:BF5)</f>
        <v>1.615545</v>
      </c>
      <c r="BG28">
        <f>MAX($E5:BG5)</f>
        <v>1.615545</v>
      </c>
      <c r="BH28">
        <f>MAX($E5:BH5)</f>
        <v>1.615545</v>
      </c>
      <c r="BI28">
        <f>MAX($E5:BI5)</f>
        <v>1.615545</v>
      </c>
    </row>
    <row r="29" spans="1:61" x14ac:dyDescent="0.25">
      <c r="A29">
        <f t="shared" si="4"/>
        <v>3.0542314335060499</v>
      </c>
      <c r="B29">
        <f t="shared" si="4"/>
        <v>3.5368000000000053</v>
      </c>
      <c r="C29">
        <f t="shared" si="4"/>
        <v>0.3274146120787147</v>
      </c>
      <c r="E29">
        <f>MAX($E6:E6)</f>
        <v>0</v>
      </c>
      <c r="F29">
        <f>MAX($E6:F6)</f>
        <v>6.1580289999999998E-3</v>
      </c>
      <c r="G29">
        <f>MAX($E6:G6)</f>
        <v>8.5223574999999992E-3</v>
      </c>
      <c r="H29">
        <f>MAX($E6:H6)</f>
        <v>2.7890749999999999E-2</v>
      </c>
      <c r="I29">
        <f>MAX($E6:I6)</f>
        <v>2.7890749999999999E-2</v>
      </c>
      <c r="J29">
        <f>MAX($E6:J6)</f>
        <v>2.8560499999999999E-2</v>
      </c>
      <c r="K29">
        <f>MAX($E6:K6)</f>
        <v>4.355175E-2</v>
      </c>
      <c r="L29">
        <f>MAX($E6:L6)</f>
        <v>4.4853749999999998E-2</v>
      </c>
      <c r="M29">
        <f>MAX($E6:M6)</f>
        <v>4.4853749999999998E-2</v>
      </c>
      <c r="N29">
        <f>MAX($E6:N6)</f>
        <v>7.7618000000000006E-2</v>
      </c>
      <c r="O29">
        <f>MAX($E6:O6)</f>
        <v>7.7618000000000006E-2</v>
      </c>
      <c r="P29">
        <f>MAX($E6:P6)</f>
        <v>7.7618000000000006E-2</v>
      </c>
      <c r="Q29">
        <f>MAX($E6:Q6)</f>
        <v>0.1178925</v>
      </c>
      <c r="R29">
        <f>MAX($E6:R6)</f>
        <v>0.1240395</v>
      </c>
      <c r="S29">
        <f>MAX($E6:S6)</f>
        <v>0.1240395</v>
      </c>
      <c r="T29">
        <f>MAX($E6:T6)</f>
        <v>0.357045</v>
      </c>
      <c r="U29">
        <f>MAX($E6:U6)</f>
        <v>0.366228</v>
      </c>
      <c r="V29">
        <f>MAX($E6:V6)</f>
        <v>0.366228</v>
      </c>
      <c r="W29">
        <f>MAX($E6:W6)</f>
        <v>0.69683899999999999</v>
      </c>
      <c r="X29">
        <f>MAX($E6:X6)</f>
        <v>0.70404699999999998</v>
      </c>
      <c r="Y29">
        <f>MAX($E6:Y6)</f>
        <v>0.70993724999999996</v>
      </c>
      <c r="Z29">
        <f>MAX($E6:Z6)</f>
        <v>0.78378674999999998</v>
      </c>
      <c r="AA29">
        <f>MAX($E6:AA6)</f>
        <v>0.78445149999999997</v>
      </c>
      <c r="AB29">
        <f>MAX($E6:AB6)</f>
        <v>0.78445149999999997</v>
      </c>
      <c r="AC29">
        <f>MAX($E6:AC6)</f>
        <v>0.90581750000000005</v>
      </c>
      <c r="AD29">
        <f>MAX($E6:AD6)</f>
        <v>0.90581750000000005</v>
      </c>
      <c r="AE29">
        <f>MAX($E6:AE6)</f>
        <v>0.90581750000000005</v>
      </c>
      <c r="AF29">
        <f>MAX($E6:AF6)</f>
        <v>1.0348625</v>
      </c>
      <c r="AG29">
        <f>MAX($E6:AG6)</f>
        <v>1.0394950000000001</v>
      </c>
      <c r="AH29">
        <f>MAX($E6:AH6)</f>
        <v>1.0395399999999999</v>
      </c>
      <c r="AI29">
        <f>MAX($E6:AI6)</f>
        <v>1.16459</v>
      </c>
      <c r="AJ29">
        <f>MAX($E6:AJ6)</f>
        <v>1.1676675000000001</v>
      </c>
      <c r="AK29">
        <f>MAX($E6:AK6)</f>
        <v>1.1727475000000001</v>
      </c>
      <c r="AL29">
        <f>MAX($E6:AL6)</f>
        <v>1.2985925</v>
      </c>
      <c r="AM29">
        <f>MAX($E6:AM6)</f>
        <v>1.309825</v>
      </c>
      <c r="AN29">
        <f>MAX($E6:AN6)</f>
        <v>1.31267</v>
      </c>
      <c r="AO29">
        <f>MAX($E6:AO6)</f>
        <v>1.3933275000000001</v>
      </c>
      <c r="AP29">
        <f>MAX($E6:AP6)</f>
        <v>1.4035200000000001</v>
      </c>
      <c r="AQ29">
        <f>MAX($E6:AQ6)</f>
        <v>1.4035200000000001</v>
      </c>
      <c r="AR29">
        <f>MAX($E6:AR6)</f>
        <v>1.45492</v>
      </c>
      <c r="AS29">
        <f>MAX($E6:AS6)</f>
        <v>1.45492</v>
      </c>
      <c r="AT29">
        <f>MAX($E6:AT6)</f>
        <v>1.4597800000000001</v>
      </c>
      <c r="AU29">
        <f>MAX($E6:AU6)</f>
        <v>1.4597800000000001</v>
      </c>
      <c r="AV29">
        <f>MAX($E6:AV6)</f>
        <v>1.4597800000000001</v>
      </c>
      <c r="AW29">
        <f>MAX($E6:AW6)</f>
        <v>1.4597800000000001</v>
      </c>
      <c r="AX29">
        <f>MAX($E6:AX6)</f>
        <v>1.4597800000000001</v>
      </c>
      <c r="AY29">
        <f>MAX($E6:AY6)</f>
        <v>1.4597800000000001</v>
      </c>
      <c r="AZ29">
        <f>MAX($E6:AZ6)</f>
        <v>1.4597800000000001</v>
      </c>
      <c r="BA29">
        <f>MAX($E6:BA6)</f>
        <v>1.47302</v>
      </c>
      <c r="BB29">
        <f>MAX($E6:BB6)</f>
        <v>1.47302</v>
      </c>
      <c r="BC29">
        <f>MAX($E6:BC6)</f>
        <v>1.47302</v>
      </c>
      <c r="BD29">
        <f>MAX($E6:BD6)</f>
        <v>1.4903525</v>
      </c>
      <c r="BE29">
        <f>MAX($E6:BE6)</f>
        <v>1.4983225</v>
      </c>
      <c r="BF29">
        <f>MAX($E6:BF6)</f>
        <v>1.4983225</v>
      </c>
      <c r="BG29">
        <f>MAX($E6:BG6)</f>
        <v>1.4983225</v>
      </c>
      <c r="BH29">
        <f>MAX($E6:BH6)</f>
        <v>1.4983225</v>
      </c>
      <c r="BI29">
        <f>MAX($E6:BI6)</f>
        <v>1.5109575</v>
      </c>
    </row>
    <row r="30" spans="1:61" x14ac:dyDescent="0.25">
      <c r="A30">
        <f t="shared" si="4"/>
        <v>2.9678756476683898</v>
      </c>
      <c r="B30">
        <f t="shared" si="4"/>
        <v>3.4367999999999954</v>
      </c>
      <c r="C30">
        <f t="shared" si="4"/>
        <v>0.33694134078212334</v>
      </c>
      <c r="E30">
        <f>MAX($E7:E7)</f>
        <v>0</v>
      </c>
      <c r="F30">
        <f>MAX($E7:F7)</f>
        <v>1.3442424025E-2</v>
      </c>
      <c r="G30">
        <f>MAX($E7:G7)</f>
        <v>1.3442424025E-2</v>
      </c>
      <c r="H30">
        <f>MAX($E7:H7)</f>
        <v>3.1939750000000003E-2</v>
      </c>
      <c r="I30">
        <f>MAX($E7:I7)</f>
        <v>3.1939750000000003E-2</v>
      </c>
      <c r="J30">
        <f>MAX($E7:J7)</f>
        <v>3.1939750000000003E-2</v>
      </c>
      <c r="K30">
        <f>MAX($E7:K7)</f>
        <v>4.3588750000000002E-2</v>
      </c>
      <c r="L30">
        <f>MAX($E7:L7)</f>
        <v>4.3588750000000002E-2</v>
      </c>
      <c r="M30">
        <f>MAX($E7:M7)</f>
        <v>4.3588750000000002E-2</v>
      </c>
      <c r="N30">
        <f>MAX($E7:N7)</f>
        <v>7.7781249999999996E-2</v>
      </c>
      <c r="O30">
        <f>MAX($E7:O7)</f>
        <v>7.7781249999999996E-2</v>
      </c>
      <c r="P30">
        <f>MAX($E7:P7)</f>
        <v>7.7781249999999996E-2</v>
      </c>
      <c r="Q30">
        <f>MAX($E7:Q7)</f>
        <v>9.7844500000000001E-2</v>
      </c>
      <c r="R30">
        <f>MAX($E7:R7)</f>
        <v>0.10110675</v>
      </c>
      <c r="S30">
        <f>MAX($E7:S7)</f>
        <v>0.10110675</v>
      </c>
      <c r="T30">
        <f>MAX($E7:T7)</f>
        <v>0.32772099999999998</v>
      </c>
      <c r="U30">
        <f>MAX($E7:U7)</f>
        <v>0.33593475</v>
      </c>
      <c r="V30">
        <f>MAX($E7:V7)</f>
        <v>0.33593475</v>
      </c>
      <c r="W30">
        <f>MAX($E7:W7)</f>
        <v>0.77409174999999997</v>
      </c>
      <c r="X30">
        <f>MAX($E7:X7)</f>
        <v>0.78824950000000005</v>
      </c>
      <c r="Y30">
        <f>MAX($E7:Y7)</f>
        <v>0.79700099999999996</v>
      </c>
      <c r="Z30">
        <f>MAX($E7:Z7)</f>
        <v>0.91432899999999995</v>
      </c>
      <c r="AA30">
        <f>MAX($E7:AA7)</f>
        <v>0.91515250000000004</v>
      </c>
      <c r="AB30">
        <f>MAX($E7:AB7)</f>
        <v>0.91515250000000004</v>
      </c>
      <c r="AC30">
        <f>MAX($E7:AC7)</f>
        <v>1.0696874999999999</v>
      </c>
      <c r="AD30">
        <f>MAX($E7:AD7)</f>
        <v>1.0696874999999999</v>
      </c>
      <c r="AE30">
        <f>MAX($E7:AE7)</f>
        <v>1.0696874999999999</v>
      </c>
      <c r="AF30">
        <f>MAX($E7:AF7)</f>
        <v>1.2224824999999999</v>
      </c>
      <c r="AG30">
        <f>MAX($E7:AG7)</f>
        <v>1.2284975</v>
      </c>
      <c r="AH30">
        <f>MAX($E7:AH7)</f>
        <v>1.2284975</v>
      </c>
      <c r="AI30">
        <f>MAX($E7:AI7)</f>
        <v>1.3726274999999999</v>
      </c>
      <c r="AJ30">
        <f>MAX($E7:AJ7)</f>
        <v>1.3753875</v>
      </c>
      <c r="AK30">
        <f>MAX($E7:AK7)</f>
        <v>1.3831599999999999</v>
      </c>
      <c r="AL30">
        <f>MAX($E7:AL7)</f>
        <v>1.5251650000000001</v>
      </c>
      <c r="AM30">
        <f>MAX($E7:AM7)</f>
        <v>1.5375125000000001</v>
      </c>
      <c r="AN30">
        <f>MAX($E7:AN7)</f>
        <v>1.5402925000000001</v>
      </c>
      <c r="AO30">
        <f>MAX($E7:AO7)</f>
        <v>1.63045</v>
      </c>
      <c r="AP30">
        <f>MAX($E7:AP7)</f>
        <v>1.6460925</v>
      </c>
      <c r="AQ30">
        <f>MAX($E7:AQ7)</f>
        <v>1.6460925</v>
      </c>
      <c r="AR30">
        <f>MAX($E7:AR7)</f>
        <v>1.7017925</v>
      </c>
      <c r="AS30">
        <f>MAX($E7:AS7)</f>
        <v>1.7017925</v>
      </c>
      <c r="AT30">
        <f>MAX($E7:AT7)</f>
        <v>1.7085300000000001</v>
      </c>
      <c r="AU30">
        <f>MAX($E7:AU7)</f>
        <v>1.7085300000000001</v>
      </c>
      <c r="AV30">
        <f>MAX($E7:AV7)</f>
        <v>1.7085300000000001</v>
      </c>
      <c r="AW30">
        <f>MAX($E7:AW7)</f>
        <v>1.7085300000000001</v>
      </c>
      <c r="AX30">
        <f>MAX($E7:AX7)</f>
        <v>1.7085300000000001</v>
      </c>
      <c r="AY30">
        <f>MAX($E7:AY7)</f>
        <v>1.7085300000000001</v>
      </c>
      <c r="AZ30">
        <f>MAX($E7:AZ7)</f>
        <v>1.7085300000000001</v>
      </c>
      <c r="BA30">
        <f>MAX($E7:BA7)</f>
        <v>1.7257499999999999</v>
      </c>
      <c r="BB30">
        <f>MAX($E7:BB7)</f>
        <v>1.7257499999999999</v>
      </c>
      <c r="BC30">
        <f>MAX($E7:BC7)</f>
        <v>1.7257499999999999</v>
      </c>
      <c r="BD30">
        <f>MAX($E7:BD7)</f>
        <v>1.7417825</v>
      </c>
      <c r="BE30">
        <f>MAX($E7:BE7)</f>
        <v>1.7494175000000001</v>
      </c>
      <c r="BF30">
        <f>MAX($E7:BF7)</f>
        <v>1.7494175000000001</v>
      </c>
      <c r="BG30">
        <f>MAX($E7:BG7)</f>
        <v>1.7494875000000001</v>
      </c>
      <c r="BH30">
        <f>MAX($E7:BH7)</f>
        <v>1.7494875000000001</v>
      </c>
      <c r="BI30">
        <f>MAX($E7:BI7)</f>
        <v>1.7650475000000001</v>
      </c>
    </row>
    <row r="31" spans="1:61" x14ac:dyDescent="0.25">
      <c r="A31">
        <f t="shared" si="4"/>
        <v>2.88151986183074</v>
      </c>
      <c r="B31">
        <f t="shared" si="4"/>
        <v>3.3367999999999967</v>
      </c>
      <c r="C31">
        <f t="shared" si="4"/>
        <v>0.34703907935746853</v>
      </c>
      <c r="E31">
        <f>MAX($E8:E8)</f>
        <v>0</v>
      </c>
      <c r="F31">
        <f>MAX($E8:F8)</f>
        <v>1.9465985000000002E-2</v>
      </c>
      <c r="G31">
        <f>MAX($E8:G8)</f>
        <v>1.9465985000000002E-2</v>
      </c>
      <c r="H31">
        <f>MAX($E8:H8)</f>
        <v>3.5952999999999999E-2</v>
      </c>
      <c r="I31">
        <f>MAX($E8:I8)</f>
        <v>3.5952999999999999E-2</v>
      </c>
      <c r="J31">
        <f>MAX($E8:J8)</f>
        <v>3.5952999999999999E-2</v>
      </c>
      <c r="K31">
        <f>MAX($E8:K8)</f>
        <v>4.4934000000000002E-2</v>
      </c>
      <c r="L31">
        <f>MAX($E8:L8)</f>
        <v>4.4934000000000002E-2</v>
      </c>
      <c r="M31">
        <f>MAX($E8:M8)</f>
        <v>4.4934000000000002E-2</v>
      </c>
      <c r="N31">
        <f>MAX($E8:N8)</f>
        <v>7.7117749999999999E-2</v>
      </c>
      <c r="O31">
        <f>MAX($E8:O8)</f>
        <v>7.7117749999999999E-2</v>
      </c>
      <c r="P31">
        <f>MAX($E8:P8)</f>
        <v>7.7117749999999999E-2</v>
      </c>
      <c r="Q31">
        <f>MAX($E8:Q8)</f>
        <v>8.9939999999999895E-2</v>
      </c>
      <c r="R31">
        <f>MAX($E8:R8)</f>
        <v>9.0547250000000204E-2</v>
      </c>
      <c r="S31">
        <f>MAX($E8:S8)</f>
        <v>9.0547250000000204E-2</v>
      </c>
      <c r="T31">
        <f>MAX($E8:T8)</f>
        <v>0.299564</v>
      </c>
      <c r="U31">
        <f>MAX($E8:U8)</f>
        <v>0.30789250000000001</v>
      </c>
      <c r="V31">
        <f>MAX($E8:V8)</f>
        <v>0.30789250000000001</v>
      </c>
      <c r="W31">
        <f>MAX($E8:W8)</f>
        <v>0.80224150000000005</v>
      </c>
      <c r="X31">
        <f>MAX($E8:X8)</f>
        <v>0.81957950000000002</v>
      </c>
      <c r="Y31">
        <f>MAX($E8:Y8)</f>
        <v>0.83329200000000003</v>
      </c>
      <c r="Z31">
        <f>MAX($E8:Z8)</f>
        <v>0.97329524999999995</v>
      </c>
      <c r="AA31">
        <f>MAX($E8:AA8)</f>
        <v>0.97426950000000001</v>
      </c>
      <c r="AB31">
        <f>MAX($E8:AB8)</f>
        <v>0.97426950000000001</v>
      </c>
      <c r="AC31">
        <f>MAX($E8:AC8)</f>
        <v>1.1432</v>
      </c>
      <c r="AD31">
        <f>MAX($E8:AD8)</f>
        <v>1.1432</v>
      </c>
      <c r="AE31">
        <f>MAX($E8:AE8)</f>
        <v>1.1432</v>
      </c>
      <c r="AF31">
        <f>MAX($E8:AF8)</f>
        <v>1.296505</v>
      </c>
      <c r="AG31">
        <f>MAX($E8:AG8)</f>
        <v>1.30714</v>
      </c>
      <c r="AH31">
        <f>MAX($E8:AH8)</f>
        <v>1.30714</v>
      </c>
      <c r="AI31">
        <f>MAX($E8:AI8)</f>
        <v>1.4519774999999999</v>
      </c>
      <c r="AJ31">
        <f>MAX($E8:AJ8)</f>
        <v>1.4558599999999999</v>
      </c>
      <c r="AK31">
        <f>MAX($E8:AK8)</f>
        <v>1.464995</v>
      </c>
      <c r="AL31">
        <f>MAX($E8:AL8)</f>
        <v>1.6084925000000001</v>
      </c>
      <c r="AM31">
        <f>MAX($E8:AM8)</f>
        <v>1.6243075</v>
      </c>
      <c r="AN31">
        <f>MAX($E8:AN8)</f>
        <v>1.6258425000000001</v>
      </c>
      <c r="AO31">
        <f>MAX($E8:AO8)</f>
        <v>1.7097925</v>
      </c>
      <c r="AP31">
        <f>MAX($E8:AP8)</f>
        <v>1.732105</v>
      </c>
      <c r="AQ31">
        <f>MAX($E8:AQ8)</f>
        <v>1.732105</v>
      </c>
      <c r="AR31">
        <f>MAX($E8:AR8)</f>
        <v>1.7890600000000001</v>
      </c>
      <c r="AS31">
        <f>MAX($E8:AS8)</f>
        <v>1.7890600000000001</v>
      </c>
      <c r="AT31">
        <f>MAX($E8:AT8)</f>
        <v>1.797015</v>
      </c>
      <c r="AU31">
        <f>MAX($E8:AU8)</f>
        <v>1.797015</v>
      </c>
      <c r="AV31">
        <f>MAX($E8:AV8)</f>
        <v>1.797015</v>
      </c>
      <c r="AW31">
        <f>MAX($E8:AW8)</f>
        <v>1.797015</v>
      </c>
      <c r="AX31">
        <f>MAX($E8:AX8)</f>
        <v>1.797015</v>
      </c>
      <c r="AY31">
        <f>MAX($E8:AY8)</f>
        <v>1.797015</v>
      </c>
      <c r="AZ31">
        <f>MAX($E8:AZ8)</f>
        <v>1.797015</v>
      </c>
      <c r="BA31">
        <f>MAX($E8:BA8)</f>
        <v>1.8105150000000001</v>
      </c>
      <c r="BB31">
        <f>MAX($E8:BB8)</f>
        <v>1.8105150000000001</v>
      </c>
      <c r="BC31">
        <f>MAX($E8:BC8)</f>
        <v>1.8105150000000001</v>
      </c>
      <c r="BD31">
        <f>MAX($E8:BD8)</f>
        <v>1.8232950000000001</v>
      </c>
      <c r="BE31">
        <f>MAX($E8:BE8)</f>
        <v>1.8324374999999999</v>
      </c>
      <c r="BF31">
        <f>MAX($E8:BF8)</f>
        <v>1.8324374999999999</v>
      </c>
      <c r="BG31">
        <f>MAX($E8:BG8)</f>
        <v>1.8358675</v>
      </c>
      <c r="BH31">
        <f>MAX($E8:BH8)</f>
        <v>1.8358675</v>
      </c>
      <c r="BI31">
        <f>MAX($E8:BI8)</f>
        <v>1.85494</v>
      </c>
    </row>
    <row r="32" spans="1:61" x14ac:dyDescent="0.25">
      <c r="A32">
        <f t="shared" si="4"/>
        <v>2.7951640759930898</v>
      </c>
      <c r="B32">
        <f t="shared" si="4"/>
        <v>3.2367999999999979</v>
      </c>
      <c r="C32">
        <f t="shared" si="4"/>
        <v>0.35776075135936752</v>
      </c>
      <c r="E32">
        <f>MAX($E9:E9)</f>
        <v>0</v>
      </c>
      <c r="F32">
        <f>MAX($E9:F9)</f>
        <v>1.6278569999999999E-2</v>
      </c>
      <c r="G32">
        <f>MAX($E9:G9)</f>
        <v>2.1072245E-2</v>
      </c>
      <c r="H32">
        <f>MAX($E9:H9)</f>
        <v>3.4863249999999998E-2</v>
      </c>
      <c r="I32">
        <f>MAX($E9:I9)</f>
        <v>3.4863249999999998E-2</v>
      </c>
      <c r="J32">
        <f>MAX($E9:J9)</f>
        <v>3.4863249999999998E-2</v>
      </c>
      <c r="K32">
        <f>MAX($E9:K9)</f>
        <v>4.3140999999999999E-2</v>
      </c>
      <c r="L32">
        <f>MAX($E9:L9)</f>
        <v>4.3140999999999999E-2</v>
      </c>
      <c r="M32">
        <f>MAX($E9:M9)</f>
        <v>4.3140999999999999E-2</v>
      </c>
      <c r="N32">
        <f>MAX($E9:N9)</f>
        <v>7.3563249999999997E-2</v>
      </c>
      <c r="O32">
        <f>MAX($E9:O9)</f>
        <v>7.3563249999999997E-2</v>
      </c>
      <c r="P32">
        <f>MAX($E9:P9)</f>
        <v>7.3563249999999997E-2</v>
      </c>
      <c r="Q32">
        <f>MAX($E9:Q9)</f>
        <v>8.5155250000000099E-2</v>
      </c>
      <c r="R32">
        <f>MAX($E9:R9)</f>
        <v>8.5155250000000099E-2</v>
      </c>
      <c r="S32">
        <f>MAX($E9:S9)</f>
        <v>8.5155250000000099E-2</v>
      </c>
      <c r="T32">
        <f>MAX($E9:T9)</f>
        <v>0.2246475</v>
      </c>
      <c r="U32">
        <f>MAX($E9:U9)</f>
        <v>0.23090474999999999</v>
      </c>
      <c r="V32">
        <f>MAX($E9:V9)</f>
        <v>0.23090474999999999</v>
      </c>
      <c r="W32">
        <f>MAX($E9:W9)</f>
        <v>0.66539499999999996</v>
      </c>
      <c r="X32">
        <f>MAX($E9:X9)</f>
        <v>0.68140374999999997</v>
      </c>
      <c r="Y32">
        <f>MAX($E9:Y9)</f>
        <v>0.69702249999999999</v>
      </c>
      <c r="Z32">
        <f>MAX($E9:Z9)</f>
        <v>0.86770225000000001</v>
      </c>
      <c r="AA32">
        <f>MAX($E9:AA9)</f>
        <v>0.86834325000000001</v>
      </c>
      <c r="AB32">
        <f>MAX($E9:AB9)</f>
        <v>0.86834325000000001</v>
      </c>
      <c r="AC32">
        <f>MAX($E9:AC9)</f>
        <v>1.04671</v>
      </c>
      <c r="AD32">
        <f>MAX($E9:AD9)</f>
        <v>1.04671</v>
      </c>
      <c r="AE32">
        <f>MAX($E9:AE9)</f>
        <v>1.04671</v>
      </c>
      <c r="AF32">
        <f>MAX($E9:AF9)</f>
        <v>1.1793450000000001</v>
      </c>
      <c r="AG32">
        <f>MAX($E9:AG9)</f>
        <v>1.19133</v>
      </c>
      <c r="AH32">
        <f>MAX($E9:AH9)</f>
        <v>1.19133</v>
      </c>
      <c r="AI32">
        <f>MAX($E9:AI9)</f>
        <v>1.32572</v>
      </c>
      <c r="AJ32">
        <f>MAX($E9:AJ9)</f>
        <v>1.3298874999999999</v>
      </c>
      <c r="AK32">
        <f>MAX($E9:AK9)</f>
        <v>1.3410325000000001</v>
      </c>
      <c r="AL32">
        <f>MAX($E9:AL9)</f>
        <v>1.4671225000000001</v>
      </c>
      <c r="AM32">
        <f>MAX($E9:AM9)</f>
        <v>1.4834375</v>
      </c>
      <c r="AN32">
        <f>MAX($E9:AN9)</f>
        <v>1.4840525</v>
      </c>
      <c r="AO32">
        <f>MAX($E9:AO9)</f>
        <v>1.56077</v>
      </c>
      <c r="AP32">
        <f>MAX($E9:AP9)</f>
        <v>1.5862974999999999</v>
      </c>
      <c r="AQ32">
        <f>MAX($E9:AQ9)</f>
        <v>1.5862974999999999</v>
      </c>
      <c r="AR32">
        <f>MAX($E9:AR9)</f>
        <v>1.641465</v>
      </c>
      <c r="AS32">
        <f>MAX($E9:AS9)</f>
        <v>1.641465</v>
      </c>
      <c r="AT32">
        <f>MAX($E9:AT9)</f>
        <v>1.6498275</v>
      </c>
      <c r="AU32">
        <f>MAX($E9:AU9)</f>
        <v>1.6498275</v>
      </c>
      <c r="AV32">
        <f>MAX($E9:AV9)</f>
        <v>1.6498275</v>
      </c>
      <c r="AW32">
        <f>MAX($E9:AW9)</f>
        <v>1.6498275</v>
      </c>
      <c r="AX32">
        <f>MAX($E9:AX9)</f>
        <v>1.6498275</v>
      </c>
      <c r="AY32">
        <f>MAX($E9:AY9)</f>
        <v>1.6498275</v>
      </c>
      <c r="AZ32">
        <f>MAX($E9:AZ9)</f>
        <v>1.6498275</v>
      </c>
      <c r="BA32">
        <f>MAX($E9:BA9)</f>
        <v>1.6665475000000001</v>
      </c>
      <c r="BB32">
        <f>MAX($E9:BB9)</f>
        <v>1.6665475000000001</v>
      </c>
      <c r="BC32">
        <f>MAX($E9:BC9)</f>
        <v>1.6665475000000001</v>
      </c>
      <c r="BD32">
        <f>MAX($E9:BD9)</f>
        <v>1.670795</v>
      </c>
      <c r="BE32">
        <f>MAX($E9:BE9)</f>
        <v>1.6805224999999999</v>
      </c>
      <c r="BF32">
        <f>MAX($E9:BF9)</f>
        <v>1.6805224999999999</v>
      </c>
      <c r="BG32">
        <f>MAX($E9:BG9)</f>
        <v>1.6903550000000001</v>
      </c>
      <c r="BH32">
        <f>MAX($E9:BH9)</f>
        <v>1.6903550000000001</v>
      </c>
      <c r="BI32">
        <f>MAX($E9:BI9)</f>
        <v>1.7216199999999999</v>
      </c>
    </row>
    <row r="33" spans="1:62" x14ac:dyDescent="0.25">
      <c r="A33">
        <f t="shared" si="4"/>
        <v>2.70880829015544</v>
      </c>
      <c r="B33">
        <f t="shared" si="4"/>
        <v>3.1367999999999991</v>
      </c>
      <c r="C33">
        <f t="shared" si="4"/>
        <v>0.36916602907421581</v>
      </c>
      <c r="E33">
        <f>MAX($E10:E10)</f>
        <v>0</v>
      </c>
      <c r="F33">
        <f>MAX($E10:F10)</f>
        <v>1.5553255E-2</v>
      </c>
      <c r="G33">
        <f>MAX($E10:G10)</f>
        <v>2.2641555000000001E-2</v>
      </c>
      <c r="H33">
        <f>MAX($E10:H10)</f>
        <v>3.6825999999999998E-2</v>
      </c>
      <c r="I33">
        <f>MAX($E10:I10)</f>
        <v>3.6825999999999998E-2</v>
      </c>
      <c r="J33">
        <f>MAX($E10:J10)</f>
        <v>3.6825999999999998E-2</v>
      </c>
      <c r="K33">
        <f>MAX($E10:K10)</f>
        <v>4.4671250000000003E-2</v>
      </c>
      <c r="L33">
        <f>MAX($E10:L10)</f>
        <v>4.4671250000000003E-2</v>
      </c>
      <c r="M33">
        <f>MAX($E10:M10)</f>
        <v>4.4671250000000003E-2</v>
      </c>
      <c r="N33">
        <f>MAX($E10:N10)</f>
        <v>6.8419250000000001E-2</v>
      </c>
      <c r="O33">
        <f>MAX($E10:O10)</f>
        <v>6.8419250000000001E-2</v>
      </c>
      <c r="P33">
        <f>MAX($E10:P10)</f>
        <v>7.1104749999999897E-2</v>
      </c>
      <c r="Q33">
        <f>MAX($E10:Q10)</f>
        <v>8.0052500000000304E-2</v>
      </c>
      <c r="R33">
        <f>MAX($E10:R10)</f>
        <v>8.0052500000000304E-2</v>
      </c>
      <c r="S33">
        <f>MAX($E10:S10)</f>
        <v>8.0052500000000304E-2</v>
      </c>
      <c r="T33">
        <f>MAX($E10:T10)</f>
        <v>0.11543249999999999</v>
      </c>
      <c r="U33">
        <f>MAX($E10:U10)</f>
        <v>0.11627999999999999</v>
      </c>
      <c r="V33">
        <f>MAX($E10:V10)</f>
        <v>0.11627999999999999</v>
      </c>
      <c r="W33">
        <f>MAX($E10:W10)</f>
        <v>0.45289499999999999</v>
      </c>
      <c r="X33">
        <f>MAX($E10:X10)</f>
        <v>0.4688775</v>
      </c>
      <c r="Y33">
        <f>MAX($E10:Y10)</f>
        <v>0.48465750000000002</v>
      </c>
      <c r="Z33">
        <f>MAX($E10:Z10)</f>
        <v>0.67634499999999997</v>
      </c>
      <c r="AA33">
        <f>MAX($E10:AA10)</f>
        <v>0.67948750000000002</v>
      </c>
      <c r="AB33">
        <f>MAX($E10:AB10)</f>
        <v>0.67948750000000002</v>
      </c>
      <c r="AC33">
        <f>MAX($E10:AC10)</f>
        <v>0.90979500000000002</v>
      </c>
      <c r="AD33">
        <f>MAX($E10:AD10)</f>
        <v>0.90979500000000002</v>
      </c>
      <c r="AE33">
        <f>MAX($E10:AE10)</f>
        <v>0.90979500000000002</v>
      </c>
      <c r="AF33">
        <f>MAX($E10:AF10)</f>
        <v>1.0531174999999999</v>
      </c>
      <c r="AG33">
        <f>MAX($E10:AG10)</f>
        <v>1.0679875000000001</v>
      </c>
      <c r="AH33">
        <f>MAX($E10:AH10)</f>
        <v>1.0679875000000001</v>
      </c>
      <c r="AI33">
        <f>MAX($E10:AI10)</f>
        <v>1.201805</v>
      </c>
      <c r="AJ33">
        <f>MAX($E10:AJ10)</f>
        <v>1.2053149999999999</v>
      </c>
      <c r="AK33">
        <f>MAX($E10:AK10)</f>
        <v>1.2183375000000001</v>
      </c>
      <c r="AL33">
        <f>MAX($E10:AL10)</f>
        <v>1.3273975</v>
      </c>
      <c r="AM33">
        <f>MAX($E10:AM10)</f>
        <v>1.34518</v>
      </c>
      <c r="AN33">
        <f>MAX($E10:AN10)</f>
        <v>1.3452625</v>
      </c>
      <c r="AO33">
        <f>MAX($E10:AO10)</f>
        <v>1.4174875</v>
      </c>
      <c r="AP33">
        <f>MAX($E10:AP10)</f>
        <v>1.445125</v>
      </c>
      <c r="AQ33">
        <f>MAX($E10:AQ10)</f>
        <v>1.445125</v>
      </c>
      <c r="AR33">
        <f>MAX($E10:AR10)</f>
        <v>1.4968524999999999</v>
      </c>
      <c r="AS33">
        <f>MAX($E10:AS10)</f>
        <v>1.4968524999999999</v>
      </c>
      <c r="AT33">
        <f>MAX($E10:AT10)</f>
        <v>1.5032075</v>
      </c>
      <c r="AU33">
        <f>MAX($E10:AU10)</f>
        <v>1.5032075</v>
      </c>
      <c r="AV33">
        <f>MAX($E10:AV10)</f>
        <v>1.5032075</v>
      </c>
      <c r="AW33">
        <f>MAX($E10:AW10)</f>
        <v>1.5032075</v>
      </c>
      <c r="AX33">
        <f>MAX($E10:AX10)</f>
        <v>1.5032075</v>
      </c>
      <c r="AY33">
        <f>MAX($E10:AY10)</f>
        <v>1.5032075</v>
      </c>
      <c r="AZ33">
        <f>MAX($E10:AZ10)</f>
        <v>1.5032075</v>
      </c>
      <c r="BA33">
        <f>MAX($E10:BA10)</f>
        <v>1.52132</v>
      </c>
      <c r="BB33">
        <f>MAX($E10:BB10)</f>
        <v>1.52132</v>
      </c>
      <c r="BC33">
        <f>MAX($E10:BC10)</f>
        <v>1.52132</v>
      </c>
      <c r="BD33">
        <f>MAX($E10:BD10)</f>
        <v>1.5220425</v>
      </c>
      <c r="BE33">
        <f>MAX($E10:BE10)</f>
        <v>1.5316650000000001</v>
      </c>
      <c r="BF33">
        <f>MAX($E10:BF10)</f>
        <v>1.5316650000000001</v>
      </c>
      <c r="BG33">
        <f>MAX($E10:BG10)</f>
        <v>1.54453</v>
      </c>
      <c r="BH33">
        <f>MAX($E10:BH10)</f>
        <v>1.54453</v>
      </c>
      <c r="BI33">
        <f>MAX($E10:BI10)</f>
        <v>1.5881974999999999</v>
      </c>
    </row>
    <row r="34" spans="1:62" x14ac:dyDescent="0.25">
      <c r="A34">
        <f t="shared" si="4"/>
        <v>2.6224525043177902</v>
      </c>
      <c r="B34">
        <f t="shared" si="4"/>
        <v>3.0368000000000008</v>
      </c>
      <c r="C34">
        <f t="shared" si="4"/>
        <v>0.38132244467860893</v>
      </c>
      <c r="E34">
        <f>MAX($E11:E11)</f>
        <v>0</v>
      </c>
      <c r="F34">
        <f>MAX($E11:F11)</f>
        <v>1.32575425E-2</v>
      </c>
      <c r="G34">
        <f>MAX($E11:G11)</f>
        <v>2.1529125E-2</v>
      </c>
      <c r="H34">
        <f>MAX($E11:H11)</f>
        <v>3.1210250000000099E-2</v>
      </c>
      <c r="I34">
        <f>MAX($E11:I11)</f>
        <v>3.1210250000000099E-2</v>
      </c>
      <c r="J34">
        <f>MAX($E11:J11)</f>
        <v>3.1210250000000099E-2</v>
      </c>
      <c r="K34">
        <f>MAX($E11:K11)</f>
        <v>4.2780749999999999E-2</v>
      </c>
      <c r="L34">
        <f>MAX($E11:L11)</f>
        <v>4.2780749999999999E-2</v>
      </c>
      <c r="M34">
        <f>MAX($E11:M11)</f>
        <v>4.2780749999999999E-2</v>
      </c>
      <c r="N34">
        <f>MAX($E11:N11)</f>
        <v>6.0423749999999998E-2</v>
      </c>
      <c r="O34">
        <f>MAX($E11:O11)</f>
        <v>6.0423749999999998E-2</v>
      </c>
      <c r="P34">
        <f>MAX($E11:P11)</f>
        <v>6.2440499999999899E-2</v>
      </c>
      <c r="Q34">
        <f>MAX($E11:Q11)</f>
        <v>7.1094999999999894E-2</v>
      </c>
      <c r="R34">
        <f>MAX($E11:R11)</f>
        <v>7.1094999999999894E-2</v>
      </c>
      <c r="S34">
        <f>MAX($E11:S11)</f>
        <v>7.1322499999999997E-2</v>
      </c>
      <c r="T34">
        <f>MAX($E11:T11)</f>
        <v>9.8452500000000095E-2</v>
      </c>
      <c r="U34">
        <f>MAX($E11:U11)</f>
        <v>9.8452500000000095E-2</v>
      </c>
      <c r="V34">
        <f>MAX($E11:V11)</f>
        <v>9.8452500000000095E-2</v>
      </c>
      <c r="W34">
        <f>MAX($E11:W11)</f>
        <v>0.3391325</v>
      </c>
      <c r="X34">
        <f>MAX($E11:X11)</f>
        <v>0.35173500000000002</v>
      </c>
      <c r="Y34">
        <f>MAX($E11:Y11)</f>
        <v>0.36874750000000001</v>
      </c>
      <c r="Z34">
        <f>MAX($E11:Z11)</f>
        <v>0.55141249999999997</v>
      </c>
      <c r="AA34">
        <f>MAX($E11:AA11)</f>
        <v>0.55722249999999995</v>
      </c>
      <c r="AB34">
        <f>MAX($E11:AB11)</f>
        <v>0.55722249999999995</v>
      </c>
      <c r="AC34">
        <f>MAX($E11:AC11)</f>
        <v>0.78357750000000004</v>
      </c>
      <c r="AD34">
        <f>MAX($E11:AD11)</f>
        <v>0.78357750000000004</v>
      </c>
      <c r="AE34">
        <f>MAX($E11:AE11)</f>
        <v>0.78357750000000004</v>
      </c>
      <c r="AF34">
        <f>MAX($E11:AF11)</f>
        <v>0.91486999999999996</v>
      </c>
      <c r="AG34">
        <f>MAX($E11:AG11)</f>
        <v>0.93288749999999998</v>
      </c>
      <c r="AH34">
        <f>MAX($E11:AH11)</f>
        <v>0.93288749999999998</v>
      </c>
      <c r="AI34">
        <f>MAX($E11:AI11)</f>
        <v>1.0513399999999999</v>
      </c>
      <c r="AJ34">
        <f>MAX($E11:AJ11)</f>
        <v>1.0558225000000001</v>
      </c>
      <c r="AK34">
        <f>MAX($E11:AK11)</f>
        <v>1.0693950000000001</v>
      </c>
      <c r="AL34">
        <f>MAX($E11:AL11)</f>
        <v>1.1569925000000001</v>
      </c>
      <c r="AM34">
        <f>MAX($E11:AM11)</f>
        <v>1.1759550000000001</v>
      </c>
      <c r="AN34">
        <f>MAX($E11:AN11)</f>
        <v>1.1759550000000001</v>
      </c>
      <c r="AO34">
        <f>MAX($E11:AO11)</f>
        <v>1.2325950000000001</v>
      </c>
      <c r="AP34">
        <f>MAX($E11:AP11)</f>
        <v>1.2612475000000001</v>
      </c>
      <c r="AQ34">
        <f>MAX($E11:AQ11)</f>
        <v>1.2612475000000001</v>
      </c>
      <c r="AR34">
        <f>MAX($E11:AR11)</f>
        <v>1.3114049999999999</v>
      </c>
      <c r="AS34">
        <f>MAX($E11:AS11)</f>
        <v>1.3114049999999999</v>
      </c>
      <c r="AT34">
        <f>MAX($E11:AT11)</f>
        <v>1.3159875000000001</v>
      </c>
      <c r="AU34">
        <f>MAX($E11:AU11)</f>
        <v>1.3159875000000001</v>
      </c>
      <c r="AV34">
        <f>MAX($E11:AV11)</f>
        <v>1.3159875000000001</v>
      </c>
      <c r="AW34">
        <f>MAX($E11:AW11)</f>
        <v>1.3159875000000001</v>
      </c>
      <c r="AX34">
        <f>MAX($E11:AX11)</f>
        <v>1.3159875000000001</v>
      </c>
      <c r="AY34">
        <f>MAX($E11:AY11)</f>
        <v>1.3159875000000001</v>
      </c>
      <c r="AZ34">
        <f>MAX($E11:AZ11)</f>
        <v>1.3159875000000001</v>
      </c>
      <c r="BA34">
        <f>MAX($E11:BA11)</f>
        <v>1.3328825</v>
      </c>
      <c r="BB34">
        <f>MAX($E11:BB11)</f>
        <v>1.3328825</v>
      </c>
      <c r="BC34">
        <f>MAX($E11:BC11)</f>
        <v>1.3328825</v>
      </c>
      <c r="BD34">
        <f>MAX($E11:BD11)</f>
        <v>1.3328825</v>
      </c>
      <c r="BE34">
        <f>MAX($E11:BE11)</f>
        <v>1.341675</v>
      </c>
      <c r="BF34">
        <f>MAX($E11:BF11)</f>
        <v>1.341675</v>
      </c>
      <c r="BG34">
        <f>MAX($E11:BG11)</f>
        <v>1.3536275</v>
      </c>
      <c r="BH34">
        <f>MAX($E11:BH11)</f>
        <v>1.3536275</v>
      </c>
      <c r="BI34">
        <f>MAX($E11:BI11)</f>
        <v>1.41157</v>
      </c>
    </row>
    <row r="35" spans="1:62" x14ac:dyDescent="0.25">
      <c r="A35">
        <f t="shared" si="4"/>
        <v>2.53609671848014</v>
      </c>
      <c r="B35">
        <f t="shared" si="4"/>
        <v>2.9368000000000021</v>
      </c>
      <c r="C35">
        <f t="shared" si="4"/>
        <v>0.39430672841187658</v>
      </c>
      <c r="E35">
        <f>MAX($E12:E12)</f>
        <v>0</v>
      </c>
      <c r="F35">
        <f>MAX($E12:F12)</f>
        <v>0</v>
      </c>
      <c r="G35">
        <f>MAX($E12:G12)</f>
        <v>2.282872E-2</v>
      </c>
      <c r="H35">
        <f>MAX($E12:H12)</f>
        <v>2.322925E-2</v>
      </c>
      <c r="I35">
        <f>MAX($E12:I12)</f>
        <v>2.322925E-2</v>
      </c>
      <c r="J35">
        <f>MAX($E12:J12)</f>
        <v>2.322925E-2</v>
      </c>
      <c r="K35">
        <f>MAX($E12:K12)</f>
        <v>3.8681E-2</v>
      </c>
      <c r="L35">
        <f>MAX($E12:L12)</f>
        <v>3.8681E-2</v>
      </c>
      <c r="M35">
        <f>MAX($E12:M12)</f>
        <v>3.8681E-2</v>
      </c>
      <c r="N35">
        <f>MAX($E12:N12)</f>
        <v>5.1727750000000003E-2</v>
      </c>
      <c r="O35">
        <f>MAX($E12:O12)</f>
        <v>5.1727750000000003E-2</v>
      </c>
      <c r="P35">
        <f>MAX($E12:P12)</f>
        <v>5.2627000000000097E-2</v>
      </c>
      <c r="Q35">
        <f>MAX($E12:Q12)</f>
        <v>6.1210000000000001E-2</v>
      </c>
      <c r="R35">
        <f>MAX($E12:R12)</f>
        <v>6.1210000000000001E-2</v>
      </c>
      <c r="S35">
        <f>MAX($E12:S12)</f>
        <v>6.1284999999999798E-2</v>
      </c>
      <c r="T35">
        <f>MAX($E12:T12)</f>
        <v>8.1809999999999897E-2</v>
      </c>
      <c r="U35">
        <f>MAX($E12:U12)</f>
        <v>8.1809999999999897E-2</v>
      </c>
      <c r="V35">
        <f>MAX($E12:V12)</f>
        <v>8.1809999999999897E-2</v>
      </c>
      <c r="W35">
        <f>MAX($E12:W12)</f>
        <v>0.26156249999999998</v>
      </c>
      <c r="X35">
        <f>MAX($E12:X12)</f>
        <v>0.27153749999999999</v>
      </c>
      <c r="Y35">
        <f>MAX($E12:Y12)</f>
        <v>0.287215</v>
      </c>
      <c r="Z35">
        <f>MAX($E12:Z12)</f>
        <v>0.46048499999999998</v>
      </c>
      <c r="AA35">
        <f>MAX($E12:AA12)</f>
        <v>0.46718999999999999</v>
      </c>
      <c r="AB35">
        <f>MAX($E12:AB12)</f>
        <v>0.46718999999999999</v>
      </c>
      <c r="AC35">
        <f>MAX($E12:AC12)</f>
        <v>0.71241750000000004</v>
      </c>
      <c r="AD35">
        <f>MAX($E12:AD12)</f>
        <v>0.71241750000000004</v>
      </c>
      <c r="AE35">
        <f>MAX($E12:AE12)</f>
        <v>0.71241750000000004</v>
      </c>
      <c r="AF35">
        <f>MAX($E12:AF12)</f>
        <v>0.84998249999999997</v>
      </c>
      <c r="AG35">
        <f>MAX($E12:AG12)</f>
        <v>0.87112999999999996</v>
      </c>
      <c r="AH35">
        <f>MAX($E12:AH12)</f>
        <v>0.87112999999999996</v>
      </c>
      <c r="AI35">
        <f>MAX($E12:AI12)</f>
        <v>1.0279799999999999</v>
      </c>
      <c r="AJ35">
        <f>MAX($E12:AJ12)</f>
        <v>1.0325899999999999</v>
      </c>
      <c r="AK35">
        <f>MAX($E12:AK12)</f>
        <v>1.0461175</v>
      </c>
      <c r="AL35">
        <f>MAX($E12:AL12)</f>
        <v>1.1352</v>
      </c>
      <c r="AM35">
        <f>MAX($E12:AM12)</f>
        <v>1.156425</v>
      </c>
      <c r="AN35">
        <f>MAX($E12:AN12)</f>
        <v>1.156425</v>
      </c>
      <c r="AO35">
        <f>MAX($E12:AO12)</f>
        <v>1.21275</v>
      </c>
      <c r="AP35">
        <f>MAX($E12:AP12)</f>
        <v>1.2434175000000001</v>
      </c>
      <c r="AQ35">
        <f>MAX($E12:AQ12)</f>
        <v>1.2434175000000001</v>
      </c>
      <c r="AR35">
        <f>MAX($E12:AR12)</f>
        <v>1.2934099999999999</v>
      </c>
      <c r="AS35">
        <f>MAX($E12:AS12)</f>
        <v>1.2934099999999999</v>
      </c>
      <c r="AT35">
        <f>MAX($E12:AT12)</f>
        <v>1.2986575</v>
      </c>
      <c r="AU35">
        <f>MAX($E12:AU12)</f>
        <v>1.2986575</v>
      </c>
      <c r="AV35">
        <f>MAX($E12:AV12)</f>
        <v>1.2986575</v>
      </c>
      <c r="AW35">
        <f>MAX($E12:AW12)</f>
        <v>1.2986575</v>
      </c>
      <c r="AX35">
        <f>MAX($E12:AX12)</f>
        <v>1.2986575</v>
      </c>
      <c r="AY35">
        <f>MAX($E12:AY12)</f>
        <v>1.2986575</v>
      </c>
      <c r="AZ35">
        <f>MAX($E12:AZ12)</f>
        <v>1.2986575</v>
      </c>
      <c r="BA35">
        <f>MAX($E12:BA12)</f>
        <v>1.3138175000000001</v>
      </c>
      <c r="BB35">
        <f>MAX($E12:BB12)</f>
        <v>1.3138175000000001</v>
      </c>
      <c r="BC35">
        <f>MAX($E12:BC12)</f>
        <v>1.3138175000000001</v>
      </c>
      <c r="BD35">
        <f>MAX($E12:BD12)</f>
        <v>1.3138175000000001</v>
      </c>
      <c r="BE35">
        <f>MAX($E12:BE12)</f>
        <v>1.3232524999999999</v>
      </c>
      <c r="BF35">
        <f>MAX($E12:BF12)</f>
        <v>1.3232524999999999</v>
      </c>
      <c r="BG35">
        <f>MAX($E12:BG12)</f>
        <v>1.3351850000000001</v>
      </c>
      <c r="BH35">
        <f>MAX($E12:BH12)</f>
        <v>1.3351850000000001</v>
      </c>
      <c r="BI35">
        <f>MAX($E12:BI12)</f>
        <v>1.3998675</v>
      </c>
    </row>
    <row r="36" spans="1:62" x14ac:dyDescent="0.25">
      <c r="A36">
        <f t="shared" si="4"/>
        <v>2.4497409326424902</v>
      </c>
      <c r="B36">
        <f t="shared" si="4"/>
        <v>2.8368000000000033</v>
      </c>
      <c r="C36">
        <f t="shared" si="4"/>
        <v>0.4082064297800333</v>
      </c>
      <c r="E36">
        <f>MAX($E13:E13)</f>
        <v>0</v>
      </c>
      <c r="F36">
        <f>MAX($E13:F13)</f>
        <v>3.50724999999999E-4</v>
      </c>
      <c r="G36">
        <f>MAX($E13:G13)</f>
        <v>2.0197742500000001E-2</v>
      </c>
      <c r="H36">
        <f>MAX($E13:H13)</f>
        <v>2.0197742500000001E-2</v>
      </c>
      <c r="I36">
        <f>MAX($E13:I13)</f>
        <v>2.0197742500000001E-2</v>
      </c>
      <c r="J36">
        <f>MAX($E13:J13)</f>
        <v>2.0197742500000001E-2</v>
      </c>
      <c r="K36">
        <f>MAX($E13:K13)</f>
        <v>3.2520250000000001E-2</v>
      </c>
      <c r="L36">
        <f>MAX($E13:L13)</f>
        <v>3.2520250000000001E-2</v>
      </c>
      <c r="M36">
        <f>MAX($E13:M13)</f>
        <v>3.2520250000000001E-2</v>
      </c>
      <c r="N36">
        <f>MAX($E13:N13)</f>
        <v>4.3114249999999903E-2</v>
      </c>
      <c r="O36">
        <f>MAX($E13:O13)</f>
        <v>4.3114249999999903E-2</v>
      </c>
      <c r="P36">
        <f>MAX($E13:P13)</f>
        <v>4.4380999999999997E-2</v>
      </c>
      <c r="Q36">
        <f>MAX($E13:Q13)</f>
        <v>4.98624999999999E-2</v>
      </c>
      <c r="R36">
        <f>MAX($E13:R13)</f>
        <v>4.98624999999999E-2</v>
      </c>
      <c r="S36">
        <f>MAX($E13:S13)</f>
        <v>5.2049999999999902E-2</v>
      </c>
      <c r="T36">
        <f>MAX($E13:T13)</f>
        <v>7.0000000000000104E-2</v>
      </c>
      <c r="U36">
        <f>MAX($E13:U13)</f>
        <v>7.0000000000000104E-2</v>
      </c>
      <c r="V36">
        <f>MAX($E13:V13)</f>
        <v>7.0000000000000104E-2</v>
      </c>
      <c r="W36">
        <f>MAX($E13:W13)</f>
        <v>0.24147750000000001</v>
      </c>
      <c r="X36">
        <f>MAX($E13:X13)</f>
        <v>0.25298999999999999</v>
      </c>
      <c r="Y36">
        <f>MAX($E13:Y13)</f>
        <v>0.26781749999999999</v>
      </c>
      <c r="Z36">
        <f>MAX($E13:Z13)</f>
        <v>0.44118499999999999</v>
      </c>
      <c r="AA36">
        <f>MAX($E13:AA13)</f>
        <v>0.44784000000000002</v>
      </c>
      <c r="AB36">
        <f>MAX($E13:AB13)</f>
        <v>0.44784000000000002</v>
      </c>
      <c r="AC36">
        <f>MAX($E13:AC13)</f>
        <v>0.72567749999999998</v>
      </c>
      <c r="AD36">
        <f>MAX($E13:AD13)</f>
        <v>0.72567749999999998</v>
      </c>
      <c r="AE36">
        <f>MAX($E13:AE13)</f>
        <v>0.72567749999999998</v>
      </c>
      <c r="AF36">
        <f>MAX($E13:AF13)</f>
        <v>0.88990000000000002</v>
      </c>
      <c r="AG36">
        <f>MAX($E13:AG13)</f>
        <v>0.90645249999999999</v>
      </c>
      <c r="AH36">
        <f>MAX($E13:AH13)</f>
        <v>0.90645249999999999</v>
      </c>
      <c r="AI36">
        <f>MAX($E13:AI13)</f>
        <v>1.1146499999999999</v>
      </c>
      <c r="AJ36">
        <f>MAX($E13:AJ13)</f>
        <v>1.1189875</v>
      </c>
      <c r="AK36">
        <f>MAX($E13:AK13)</f>
        <v>1.1299874999999999</v>
      </c>
      <c r="AL36">
        <f>MAX($E13:AL13)</f>
        <v>1.237805</v>
      </c>
      <c r="AM36">
        <f>MAX($E13:AM13)</f>
        <v>1.2558925000000001</v>
      </c>
      <c r="AN36">
        <f>MAX($E13:AN13)</f>
        <v>1.2558925000000001</v>
      </c>
      <c r="AO36">
        <f>MAX($E13:AO13)</f>
        <v>1.3166724999999999</v>
      </c>
      <c r="AP36">
        <f>MAX($E13:AP13)</f>
        <v>1.3427125</v>
      </c>
      <c r="AQ36">
        <f>MAX($E13:AQ13)</f>
        <v>1.3427125</v>
      </c>
      <c r="AR36">
        <f>MAX($E13:AR13)</f>
        <v>1.3960874999999999</v>
      </c>
      <c r="AS36">
        <f>MAX($E13:AS13)</f>
        <v>1.3960874999999999</v>
      </c>
      <c r="AT36">
        <f>MAX($E13:AT13)</f>
        <v>1.4021600000000001</v>
      </c>
      <c r="AU36">
        <f>MAX($E13:AU13)</f>
        <v>1.4021600000000001</v>
      </c>
      <c r="AV36">
        <f>MAX($E13:AV13)</f>
        <v>1.4021600000000001</v>
      </c>
      <c r="AW36">
        <f>MAX($E13:AW13)</f>
        <v>1.4021600000000001</v>
      </c>
      <c r="AX36">
        <f>MAX($E13:AX13)</f>
        <v>1.4021600000000001</v>
      </c>
      <c r="AY36">
        <f>MAX($E13:AY13)</f>
        <v>1.4021600000000001</v>
      </c>
      <c r="AZ36">
        <f>MAX($E13:AZ13)</f>
        <v>1.4021600000000001</v>
      </c>
      <c r="BA36">
        <f>MAX($E13:BA13)</f>
        <v>1.4180999999999999</v>
      </c>
      <c r="BB36">
        <f>MAX($E13:BB13)</f>
        <v>1.4182874999999999</v>
      </c>
      <c r="BC36">
        <f>MAX($E13:BC13)</f>
        <v>1.4182874999999999</v>
      </c>
      <c r="BD36">
        <f>MAX($E13:BD13)</f>
        <v>1.4204675</v>
      </c>
      <c r="BE36">
        <f>MAX($E13:BE13)</f>
        <v>1.4315875</v>
      </c>
      <c r="BF36">
        <f>MAX($E13:BF13)</f>
        <v>1.4315875</v>
      </c>
      <c r="BG36">
        <f>MAX($E13:BG13)</f>
        <v>1.4443474999999999</v>
      </c>
      <c r="BH36">
        <f>MAX($E13:BH13)</f>
        <v>1.4443474999999999</v>
      </c>
      <c r="BI36">
        <f>MAX($E13:BI13)</f>
        <v>1.5098050000000001</v>
      </c>
    </row>
    <row r="37" spans="1:62" x14ac:dyDescent="0.25">
      <c r="A37">
        <f t="shared" si="4"/>
        <v>2.3633851468048399</v>
      </c>
      <c r="B37">
        <f t="shared" si="4"/>
        <v>2.7368000000000046</v>
      </c>
      <c r="C37">
        <f t="shared" si="4"/>
        <v>0.42312189418298674</v>
      </c>
      <c r="E37">
        <f>MAX($E14:E14)</f>
        <v>0</v>
      </c>
      <c r="F37">
        <f>MAX($E14:F14)</f>
        <v>3.9983275000000099E-4</v>
      </c>
      <c r="G37">
        <f>MAX($E14:G14)</f>
        <v>1.4127600000000001E-2</v>
      </c>
      <c r="H37">
        <f>MAX($E14:H14)</f>
        <v>1.4127600000000001E-2</v>
      </c>
      <c r="I37">
        <f>MAX($E14:I14)</f>
        <v>1.4127600000000001E-2</v>
      </c>
      <c r="J37">
        <f>MAX($E14:J14)</f>
        <v>1.4127600000000001E-2</v>
      </c>
      <c r="K37">
        <f>MAX($E14:K14)</f>
        <v>2.5642499999999999E-2</v>
      </c>
      <c r="L37">
        <f>MAX($E14:L14)</f>
        <v>2.5642499999999999E-2</v>
      </c>
      <c r="M37">
        <f>MAX($E14:M14)</f>
        <v>2.5642499999999999E-2</v>
      </c>
      <c r="N37">
        <f>MAX($E14:N14)</f>
        <v>3.3272000000000003E-2</v>
      </c>
      <c r="O37">
        <f>MAX($E14:O14)</f>
        <v>3.3272000000000003E-2</v>
      </c>
      <c r="P37">
        <f>MAX($E14:P14)</f>
        <v>3.422E-2</v>
      </c>
      <c r="Q37">
        <f>MAX($E14:Q14)</f>
        <v>4.11724999999998E-2</v>
      </c>
      <c r="R37">
        <f>MAX($E14:R14)</f>
        <v>4.11724999999998E-2</v>
      </c>
      <c r="S37">
        <f>MAX($E14:S14)</f>
        <v>4.2904999999999999E-2</v>
      </c>
      <c r="T37">
        <f>MAX($E14:T14)</f>
        <v>6.0107500000000001E-2</v>
      </c>
      <c r="U37">
        <f>MAX($E14:U14)</f>
        <v>6.0107500000000001E-2</v>
      </c>
      <c r="V37">
        <f>MAX($E14:V14)</f>
        <v>6.0107500000000001E-2</v>
      </c>
      <c r="W37">
        <f>MAX($E14:W14)</f>
        <v>0.23676249999999999</v>
      </c>
      <c r="X37">
        <f>MAX($E14:X14)</f>
        <v>0.24840999999999999</v>
      </c>
      <c r="Y37">
        <f>MAX($E14:Y14)</f>
        <v>0.25887250000000001</v>
      </c>
      <c r="Z37">
        <f>MAX($E14:Z14)</f>
        <v>0.43107499999999999</v>
      </c>
      <c r="AA37">
        <f>MAX($E14:AA14)</f>
        <v>0.43449749999999998</v>
      </c>
      <c r="AB37">
        <f>MAX($E14:AB14)</f>
        <v>0.43449749999999998</v>
      </c>
      <c r="AC37">
        <f>MAX($E14:AC14)</f>
        <v>0.70435250000000005</v>
      </c>
      <c r="AD37">
        <f>MAX($E14:AD14)</f>
        <v>0.70435250000000005</v>
      </c>
      <c r="AE37">
        <f>MAX($E14:AE14)</f>
        <v>0.70435250000000005</v>
      </c>
      <c r="AF37">
        <f>MAX($E14:AF14)</f>
        <v>0.86966750000000004</v>
      </c>
      <c r="AG37">
        <f>MAX($E14:AG14)</f>
        <v>0.88133499999999998</v>
      </c>
      <c r="AH37">
        <f>MAX($E14:AH14)</f>
        <v>0.88133499999999998</v>
      </c>
      <c r="AI37">
        <f>MAX($E14:AI14)</f>
        <v>1.1401250000000001</v>
      </c>
      <c r="AJ37">
        <f>MAX($E14:AJ14)</f>
        <v>1.1462000000000001</v>
      </c>
      <c r="AK37">
        <f>MAX($E14:AK14)</f>
        <v>1.1566025</v>
      </c>
      <c r="AL37">
        <f>MAX($E14:AL14)</f>
        <v>1.2993475000000001</v>
      </c>
      <c r="AM37">
        <f>MAX($E14:AM14)</f>
        <v>1.3138974999999999</v>
      </c>
      <c r="AN37">
        <f>MAX($E14:AN14)</f>
        <v>1.314425</v>
      </c>
      <c r="AO37">
        <f>MAX($E14:AO14)</f>
        <v>1.3948525000000001</v>
      </c>
      <c r="AP37">
        <f>MAX($E14:AP14)</f>
        <v>1.415675</v>
      </c>
      <c r="AQ37">
        <f>MAX($E14:AQ14)</f>
        <v>1.415675</v>
      </c>
      <c r="AR37">
        <f>MAX($E14:AR14)</f>
        <v>1.5057400000000001</v>
      </c>
      <c r="AS37">
        <f>MAX($E14:AS14)</f>
        <v>1.5057400000000001</v>
      </c>
      <c r="AT37">
        <f>MAX($E14:AT14)</f>
        <v>1.516375</v>
      </c>
      <c r="AU37">
        <f>MAX($E14:AU14)</f>
        <v>1.516375</v>
      </c>
      <c r="AV37">
        <f>MAX($E14:AV14)</f>
        <v>1.516375</v>
      </c>
      <c r="AW37">
        <f>MAX($E14:AW14)</f>
        <v>1.516375</v>
      </c>
      <c r="AX37">
        <f>MAX($E14:AX14)</f>
        <v>1.5181549999999999</v>
      </c>
      <c r="AY37">
        <f>MAX($E14:AY14)</f>
        <v>1.5209124999999999</v>
      </c>
      <c r="AZ37">
        <f>MAX($E14:AZ14)</f>
        <v>1.5209124999999999</v>
      </c>
      <c r="BA37">
        <f>MAX($E14:BA14)</f>
        <v>1.5454300000000001</v>
      </c>
      <c r="BB37">
        <f>MAX($E14:BB14)</f>
        <v>1.5462875</v>
      </c>
      <c r="BC37">
        <f>MAX($E14:BC14)</f>
        <v>1.5462875</v>
      </c>
      <c r="BD37">
        <f>MAX($E14:BD14)</f>
        <v>1.5644499999999999</v>
      </c>
      <c r="BE37">
        <f>MAX($E14:BE14)</f>
        <v>1.5774250000000001</v>
      </c>
      <c r="BF37">
        <f>MAX($E14:BF14)</f>
        <v>1.5774250000000001</v>
      </c>
      <c r="BG37">
        <f>MAX($E14:BG14)</f>
        <v>1.5904</v>
      </c>
      <c r="BH37">
        <f>MAX($E14:BH14)</f>
        <v>1.5904</v>
      </c>
      <c r="BI37">
        <f>MAX($E14:BI14)</f>
        <v>1.6190800000000001</v>
      </c>
    </row>
    <row r="38" spans="1:62" x14ac:dyDescent="0.25">
      <c r="A38">
        <f t="shared" si="4"/>
        <v>2.2770293609671901</v>
      </c>
      <c r="B38">
        <f t="shared" si="4"/>
        <v>2.6368000000000058</v>
      </c>
      <c r="C38">
        <f t="shared" si="4"/>
        <v>0.43916868932038733</v>
      </c>
      <c r="E38">
        <f>MAX($E15:E15)</f>
        <v>0</v>
      </c>
      <c r="F38">
        <f>MAX($E15:F15)</f>
        <v>0</v>
      </c>
      <c r="G38">
        <f>MAX($E15:G15)</f>
        <v>3.7715750000000001E-3</v>
      </c>
      <c r="H38">
        <f>MAX($E15:H15)</f>
        <v>3.7715750000000001E-3</v>
      </c>
      <c r="I38">
        <f>MAX($E15:I15)</f>
        <v>3.7715750000000001E-3</v>
      </c>
      <c r="J38">
        <f>MAX($E15:J15)</f>
        <v>3.7715750000000001E-3</v>
      </c>
      <c r="K38">
        <f>MAX($E15:K15)</f>
        <v>1.3539000000000001E-2</v>
      </c>
      <c r="L38">
        <f>MAX($E15:L15)</f>
        <v>1.3539000000000001E-2</v>
      </c>
      <c r="M38">
        <f>MAX($E15:M15)</f>
        <v>1.3539000000000001E-2</v>
      </c>
      <c r="N38">
        <f>MAX($E15:N15)</f>
        <v>1.8367499999999998E-2</v>
      </c>
      <c r="O38">
        <f>MAX($E15:O15)</f>
        <v>1.8367499999999998E-2</v>
      </c>
      <c r="P38">
        <f>MAX($E15:P15)</f>
        <v>1.8717999999999999E-2</v>
      </c>
      <c r="Q38">
        <f>MAX($E15:Q15)</f>
        <v>2.60649999999998E-2</v>
      </c>
      <c r="R38">
        <f>MAX($E15:R15)</f>
        <v>2.60649999999998E-2</v>
      </c>
      <c r="S38">
        <f>MAX($E15:S15)</f>
        <v>2.7002500000000301E-2</v>
      </c>
      <c r="T38">
        <f>MAX($E15:T15)</f>
        <v>3.56550000000002E-2</v>
      </c>
      <c r="U38">
        <f>MAX($E15:U15)</f>
        <v>3.6235000000000003E-2</v>
      </c>
      <c r="V38">
        <f>MAX($E15:V15)</f>
        <v>3.6235000000000003E-2</v>
      </c>
      <c r="W38">
        <f>MAX($E15:W15)</f>
        <v>0.20929500000000001</v>
      </c>
      <c r="X38">
        <f>MAX($E15:X15)</f>
        <v>0.21598249999999999</v>
      </c>
      <c r="Y38">
        <f>MAX($E15:Y15)</f>
        <v>0.22487499999999999</v>
      </c>
      <c r="Z38">
        <f>MAX($E15:Z15)</f>
        <v>0.39095249999999998</v>
      </c>
      <c r="AA38">
        <f>MAX($E15:AA15)</f>
        <v>0.39536749999999998</v>
      </c>
      <c r="AB38">
        <f>MAX($E15:AB15)</f>
        <v>0.39644750000000001</v>
      </c>
      <c r="AC38">
        <f>MAX($E15:AC15)</f>
        <v>0.64778999999999998</v>
      </c>
      <c r="AD38">
        <f>MAX($E15:AD15)</f>
        <v>0.64778999999999998</v>
      </c>
      <c r="AE38">
        <f>MAX($E15:AE15)</f>
        <v>0.64778999999999998</v>
      </c>
      <c r="AF38">
        <f>MAX($E15:AF15)</f>
        <v>0.81733750000000005</v>
      </c>
      <c r="AG38">
        <f>MAX($E15:AG15)</f>
        <v>0.82623500000000005</v>
      </c>
      <c r="AH38">
        <f>MAX($E15:AH15)</f>
        <v>0.82623500000000005</v>
      </c>
      <c r="AI38">
        <f>MAX($E15:AI15)</f>
        <v>1.17361</v>
      </c>
      <c r="AJ38">
        <f>MAX($E15:AJ15)</f>
        <v>1.1799949999999999</v>
      </c>
      <c r="AK38">
        <f>MAX($E15:AK15)</f>
        <v>1.1875249999999999</v>
      </c>
      <c r="AL38">
        <f>MAX($E15:AL15)</f>
        <v>1.3575925</v>
      </c>
      <c r="AM38">
        <f>MAX($E15:AM15)</f>
        <v>1.367065</v>
      </c>
      <c r="AN38">
        <f>MAX($E15:AN15)</f>
        <v>1.3686375</v>
      </c>
      <c r="AO38">
        <f>MAX($E15:AO15)</f>
        <v>1.4692475</v>
      </c>
      <c r="AP38">
        <f>MAX($E15:AP15)</f>
        <v>1.4841175</v>
      </c>
      <c r="AQ38">
        <f>MAX($E15:AQ15)</f>
        <v>1.4893624999999999</v>
      </c>
      <c r="AR38">
        <f>MAX($E15:AR15)</f>
        <v>1.5976950000000001</v>
      </c>
      <c r="AS38">
        <f>MAX($E15:AS15)</f>
        <v>1.5976950000000001</v>
      </c>
      <c r="AT38">
        <f>MAX($E15:AT15)</f>
        <v>1.6087175</v>
      </c>
      <c r="AU38">
        <f>MAX($E15:AU15)</f>
        <v>1.6087175</v>
      </c>
      <c r="AV38">
        <f>MAX($E15:AV15)</f>
        <v>1.6112200000000001</v>
      </c>
      <c r="AW38">
        <f>MAX($E15:AW15)</f>
        <v>1.6112200000000001</v>
      </c>
      <c r="AX38">
        <f>MAX($E15:AX15)</f>
        <v>1.6205274999999999</v>
      </c>
      <c r="AY38">
        <f>MAX($E15:AY15)</f>
        <v>1.6215975</v>
      </c>
      <c r="AZ38">
        <f>MAX($E15:AZ15)</f>
        <v>1.6244075</v>
      </c>
      <c r="BA38">
        <f>MAX($E15:BA15)</f>
        <v>1.64398166666667</v>
      </c>
      <c r="BB38">
        <f>MAX($E15:BB15)</f>
        <v>1.64613916666667</v>
      </c>
      <c r="BC38">
        <f>MAX($E15:BC15)</f>
        <v>1.64613916666667</v>
      </c>
      <c r="BD38">
        <f>MAX($E15:BD15)</f>
        <v>1.6773916666666699</v>
      </c>
      <c r="BE38">
        <f>MAX($E15:BE15)</f>
        <v>1.69143333333333</v>
      </c>
      <c r="BF38">
        <f>MAX($E15:BF15)</f>
        <v>1.69143333333333</v>
      </c>
      <c r="BG38">
        <f>MAX($E15:BG15)</f>
        <v>1.7045333333333299</v>
      </c>
      <c r="BH38">
        <f>MAX($E15:BH15)</f>
        <v>1.7067950000000001</v>
      </c>
      <c r="BI38">
        <f>MAX($E15:BI15)</f>
        <v>1.7163999999999999</v>
      </c>
    </row>
    <row r="39" spans="1:62" x14ac:dyDescent="0.25">
      <c r="A39">
        <f t="shared" si="4"/>
        <v>2.1906735751295301</v>
      </c>
      <c r="B39">
        <f t="shared" si="4"/>
        <v>2.5367999999999955</v>
      </c>
      <c r="C39">
        <f t="shared" si="4"/>
        <v>0.45648060548722874</v>
      </c>
      <c r="E39">
        <f>MAX($E16:E16)</f>
        <v>0</v>
      </c>
      <c r="F39">
        <f>MAX($E16:F16)</f>
        <v>0</v>
      </c>
      <c r="G39">
        <f>MAX($E16:G16)</f>
        <v>0</v>
      </c>
      <c r="H39">
        <f>MAX($E16:H16)</f>
        <v>0</v>
      </c>
      <c r="I39">
        <f>MAX($E16:I16)</f>
        <v>0</v>
      </c>
      <c r="J39">
        <f>MAX($E16:J16)</f>
        <v>0</v>
      </c>
      <c r="K39">
        <f>MAX($E16:K16)</f>
        <v>3.6172499999999599E-3</v>
      </c>
      <c r="L39">
        <f>MAX($E16:L16)</f>
        <v>5.6729999999999298E-3</v>
      </c>
      <c r="M39">
        <f>MAX($E16:M16)</f>
        <v>5.6729999999999298E-3</v>
      </c>
      <c r="N39">
        <f>MAX($E16:N16)</f>
        <v>5.9857499999999E-3</v>
      </c>
      <c r="O39">
        <f>MAX($E16:O16)</f>
        <v>7.8624999999999893E-3</v>
      </c>
      <c r="P39">
        <f>MAX($E16:P16)</f>
        <v>7.8624999999999893E-3</v>
      </c>
      <c r="Q39">
        <f>MAX($E16:Q16)</f>
        <v>1.29024999999998E-2</v>
      </c>
      <c r="R39">
        <f>MAX($E16:R16)</f>
        <v>1.29024999999998E-2</v>
      </c>
      <c r="S39">
        <f>MAX($E16:S16)</f>
        <v>1.29024999999998E-2</v>
      </c>
      <c r="T39">
        <f>MAX($E16:T16)</f>
        <v>1.6317499999999999E-2</v>
      </c>
      <c r="U39">
        <f>MAX($E16:U16)</f>
        <v>1.8167499999999899E-2</v>
      </c>
      <c r="V39">
        <f>MAX($E16:V16)</f>
        <v>1.8167499999999899E-2</v>
      </c>
      <c r="W39">
        <f>MAX($E16:W16)</f>
        <v>0.1011625</v>
      </c>
      <c r="X39">
        <f>MAX($E16:X16)</f>
        <v>0.10524500000000001</v>
      </c>
      <c r="Y39">
        <f>MAX($E16:Y16)</f>
        <v>0.11108999999999999</v>
      </c>
      <c r="Z39">
        <f>MAX($E16:Z16)</f>
        <v>0.23733750000000001</v>
      </c>
      <c r="AA39">
        <f>MAX($E16:AA16)</f>
        <v>0.24001500000000001</v>
      </c>
      <c r="AB39">
        <f>MAX($E16:AB16)</f>
        <v>0.24001500000000001</v>
      </c>
      <c r="AC39">
        <f>MAX($E16:AC16)</f>
        <v>0.45596250000000099</v>
      </c>
      <c r="AD39">
        <f>MAX($E16:AD16)</f>
        <v>0.45596250000000099</v>
      </c>
      <c r="AE39">
        <f>MAX($E16:AE16)</f>
        <v>0.45596250000000099</v>
      </c>
      <c r="AF39">
        <f>MAX($E16:AF16)</f>
        <v>0.592359999999999</v>
      </c>
      <c r="AG39">
        <f>MAX($E16:AG16)</f>
        <v>0.59979000000000104</v>
      </c>
      <c r="AH39">
        <f>MAX($E16:AH16)</f>
        <v>0.59979000000000104</v>
      </c>
      <c r="AI39">
        <f>MAX($E16:AI16)</f>
        <v>0.93200499999999997</v>
      </c>
      <c r="AJ39">
        <f>MAX($E16:AJ16)</f>
        <v>0.93823000000000001</v>
      </c>
      <c r="AK39">
        <f>MAX($E16:AK16)</f>
        <v>0.944532500000001</v>
      </c>
      <c r="AL39">
        <f>MAX($E16:AL16)</f>
        <v>1.1204624999999999</v>
      </c>
      <c r="AM39">
        <f>MAX($E16:AM16)</f>
        <v>1.1252625000000001</v>
      </c>
      <c r="AN39">
        <f>MAX($E16:AN16)</f>
        <v>1.127515</v>
      </c>
      <c r="AO39">
        <f>MAX($E16:AO16)</f>
        <v>1.2340875</v>
      </c>
      <c r="AP39">
        <f>MAX($E16:AP16)</f>
        <v>1.24342</v>
      </c>
      <c r="AQ39">
        <f>MAX($E16:AQ16)</f>
        <v>1.2544900000000001</v>
      </c>
      <c r="AR39">
        <f>MAX($E16:AR16)</f>
        <v>1.3638524999999999</v>
      </c>
      <c r="AS39">
        <f>MAX($E16:AS16)</f>
        <v>1.3638524999999999</v>
      </c>
      <c r="AT39">
        <f>MAX($E16:AT16)</f>
        <v>1.3745425</v>
      </c>
      <c r="AU39">
        <f>MAX($E16:AU16)</f>
        <v>1.3745425</v>
      </c>
      <c r="AV39">
        <f>MAX($E16:AV16)</f>
        <v>1.3780675</v>
      </c>
      <c r="AW39">
        <f>MAX($E16:AW16)</f>
        <v>1.3789875</v>
      </c>
      <c r="AX39">
        <f>MAX($E16:AX16)</f>
        <v>1.38856</v>
      </c>
      <c r="AY39">
        <f>MAX($E16:AY16)</f>
        <v>1.38856</v>
      </c>
      <c r="AZ39">
        <f>MAX($E16:AZ16)</f>
        <v>1.3939225</v>
      </c>
      <c r="BA39">
        <f>MAX($E16:BA16)</f>
        <v>1.4131450000000001</v>
      </c>
      <c r="BB39">
        <f>MAX($E16:BB16)</f>
        <v>1.413905</v>
      </c>
      <c r="BC39">
        <f>MAX($E16:BC16)</f>
        <v>1.413905</v>
      </c>
      <c r="BD39">
        <f>MAX($E16:BD16)</f>
        <v>1.4399850000000001</v>
      </c>
      <c r="BE39">
        <f>MAX($E16:BE16)</f>
        <v>1.4545349999999999</v>
      </c>
      <c r="BF39">
        <f>MAX($E16:BF16)</f>
        <v>1.4587275</v>
      </c>
      <c r="BG39">
        <f>MAX($E16:BG16)</f>
        <v>1.4672425</v>
      </c>
      <c r="BH39">
        <f>MAX($E16:BH16)</f>
        <v>1.4797875</v>
      </c>
      <c r="BI39">
        <f>MAX($E16:BI16)</f>
        <v>1.4819500000000001</v>
      </c>
    </row>
    <row r="40" spans="1:62" x14ac:dyDescent="0.25">
      <c r="A40">
        <f t="shared" si="4"/>
        <v>2.1043177892918798</v>
      </c>
      <c r="B40">
        <f t="shared" si="4"/>
        <v>2.4367999999999967</v>
      </c>
      <c r="C40">
        <f t="shared" si="4"/>
        <v>0.47521339461589029</v>
      </c>
      <c r="E40">
        <f>MAX($E17:E17)</f>
        <v>0</v>
      </c>
      <c r="F40">
        <f>MAX($E17:F17)</f>
        <v>0</v>
      </c>
      <c r="G40">
        <f>MAX($E17:G17)</f>
        <v>0</v>
      </c>
      <c r="H40">
        <f>MAX($E17:H17)</f>
        <v>0</v>
      </c>
      <c r="I40">
        <f>MAX($E17:I17)</f>
        <v>1.14975000000006E-3</v>
      </c>
      <c r="J40">
        <f>MAX($E17:J17)</f>
        <v>1.14975000000006E-3</v>
      </c>
      <c r="K40">
        <f>MAX($E17:K17)</f>
        <v>2.4150000000000599E-3</v>
      </c>
      <c r="L40">
        <f>MAX($E17:L17)</f>
        <v>6.9784999999999396E-3</v>
      </c>
      <c r="M40">
        <f>MAX($E17:M17)</f>
        <v>6.9784999999999396E-3</v>
      </c>
      <c r="N40">
        <f>MAX($E17:N17)</f>
        <v>6.9784999999999396E-3</v>
      </c>
      <c r="O40">
        <f>MAX($E17:O17)</f>
        <v>6.9784999999999396E-3</v>
      </c>
      <c r="P40">
        <f>MAX($E17:P17)</f>
        <v>6.9784999999999396E-3</v>
      </c>
      <c r="Q40">
        <f>MAX($E17:Q17)</f>
        <v>6.9784999999999396E-3</v>
      </c>
      <c r="R40">
        <f>MAX($E17:R17)</f>
        <v>6.9784999999999396E-3</v>
      </c>
      <c r="S40">
        <f>MAX($E17:S17)</f>
        <v>6.9784999999999396E-3</v>
      </c>
      <c r="T40">
        <f>MAX($E17:T17)</f>
        <v>7.3375000000000003E-3</v>
      </c>
      <c r="U40">
        <f>MAX($E17:U17)</f>
        <v>9.4849999999999692E-3</v>
      </c>
      <c r="V40">
        <f>MAX($E17:V17)</f>
        <v>9.4849999999999692E-3</v>
      </c>
      <c r="W40">
        <f>MAX($E17:W17)</f>
        <v>9.4849999999999692E-3</v>
      </c>
      <c r="X40">
        <f>MAX($E17:X17)</f>
        <v>9.4849999999999692E-3</v>
      </c>
      <c r="Y40">
        <f>MAX($E17:Y17)</f>
        <v>9.4849999999999692E-3</v>
      </c>
      <c r="Z40">
        <f>MAX($E17:Z17)</f>
        <v>8.8457500000000105E-2</v>
      </c>
      <c r="AA40">
        <f>MAX($E17:AA17)</f>
        <v>9.3472500000000305E-2</v>
      </c>
      <c r="AB40">
        <f>MAX($E17:AB17)</f>
        <v>9.3472500000000305E-2</v>
      </c>
      <c r="AC40">
        <f>MAX($E17:AC17)</f>
        <v>0.27041749999999998</v>
      </c>
      <c r="AD40">
        <f>MAX($E17:AD17)</f>
        <v>0.27041749999999998</v>
      </c>
      <c r="AE40">
        <f>MAX($E17:AE17)</f>
        <v>0.2742175</v>
      </c>
      <c r="AF40">
        <f>MAX($E17:AF17)</f>
        <v>0.38173750000000001</v>
      </c>
      <c r="AG40">
        <f>MAX($E17:AG17)</f>
        <v>0.38940999999999998</v>
      </c>
      <c r="AH40">
        <f>MAX($E17:AH17)</f>
        <v>0.38970250000000001</v>
      </c>
      <c r="AI40">
        <f>MAX($E17:AI17)</f>
        <v>0.71455500000000005</v>
      </c>
      <c r="AJ40">
        <f>MAX($E17:AJ17)</f>
        <v>0.72335499999999997</v>
      </c>
      <c r="AK40">
        <f>MAX($E17:AK17)</f>
        <v>0.72977250000000005</v>
      </c>
      <c r="AL40">
        <f>MAX($E17:AL17)</f>
        <v>0.96423250000000105</v>
      </c>
      <c r="AM40">
        <f>MAX($E17:AM17)</f>
        <v>0.96742249999999996</v>
      </c>
      <c r="AN40">
        <f>MAX($E17:AN17)</f>
        <v>0.97158999999999995</v>
      </c>
      <c r="AO40">
        <f>MAX($E17:AO17)</f>
        <v>1.1078574999999999</v>
      </c>
      <c r="AP40">
        <f>MAX($E17:AP17)</f>
        <v>1.1121799999999999</v>
      </c>
      <c r="AQ40">
        <f>MAX($E17:AQ17)</f>
        <v>1.12669</v>
      </c>
      <c r="AR40">
        <f>MAX($E17:AR17)</f>
        <v>1.2436400000000001</v>
      </c>
      <c r="AS40">
        <f>MAX($E17:AS17)</f>
        <v>1.2466025000000001</v>
      </c>
      <c r="AT40">
        <f>MAX($E17:AT17)</f>
        <v>1.25162</v>
      </c>
      <c r="AU40">
        <f>MAX($E17:AU17)</f>
        <v>1.2564525</v>
      </c>
      <c r="AV40">
        <f>MAX($E17:AV17)</f>
        <v>1.2568699999999999</v>
      </c>
      <c r="AW40">
        <f>MAX($E17:AW17)</f>
        <v>1.25885</v>
      </c>
      <c r="AX40">
        <f>MAX($E17:AX17)</f>
        <v>1.2670925</v>
      </c>
      <c r="AY40">
        <f>MAX($E17:AY17)</f>
        <v>1.2675974999999999</v>
      </c>
      <c r="AZ40">
        <f>MAX($E17:AZ17)</f>
        <v>1.2732699999999999</v>
      </c>
      <c r="BA40">
        <f>MAX($E17:BA17)</f>
        <v>1.2882275000000001</v>
      </c>
      <c r="BB40">
        <f>MAX($E17:BB17)</f>
        <v>1.2888599999999999</v>
      </c>
      <c r="BC40">
        <f>MAX($E17:BC17)</f>
        <v>1.292055</v>
      </c>
      <c r="BD40">
        <f>MAX($E17:BD17)</f>
        <v>1.3196075</v>
      </c>
      <c r="BE40">
        <f>MAX($E17:BE17)</f>
        <v>1.3327225</v>
      </c>
      <c r="BF40">
        <f>MAX($E17:BF17)</f>
        <v>1.343925</v>
      </c>
      <c r="BG40">
        <f>MAX($E17:BG17)</f>
        <v>1.3504875000000001</v>
      </c>
      <c r="BH40">
        <f>MAX($E17:BH17)</f>
        <v>1.3779325</v>
      </c>
      <c r="BI40">
        <f>MAX($E17:BI17)</f>
        <v>1.3779325</v>
      </c>
    </row>
    <row r="41" spans="1:62" x14ac:dyDescent="0.25">
      <c r="A41">
        <f t="shared" si="4"/>
        <v>2.01796200345423</v>
      </c>
      <c r="B41">
        <f t="shared" si="4"/>
        <v>2.3367999999999984</v>
      </c>
      <c r="C41">
        <f t="shared" si="4"/>
        <v>0.49554946935980865</v>
      </c>
      <c r="E41">
        <f>MAX($E18:E18)</f>
        <v>0</v>
      </c>
      <c r="F41">
        <f>MAX($E18:F18)</f>
        <v>0</v>
      </c>
      <c r="G41">
        <f>MAX($E18:G18)</f>
        <v>0</v>
      </c>
      <c r="H41">
        <f>MAX($E18:H18)</f>
        <v>0</v>
      </c>
      <c r="I41">
        <f>MAX($E18:I18)</f>
        <v>0</v>
      </c>
      <c r="J41">
        <f>MAX($E18:J18)</f>
        <v>0</v>
      </c>
      <c r="K41">
        <f>MAX($E18:K18)</f>
        <v>0</v>
      </c>
      <c r="L41">
        <f>MAX($E18:L18)</f>
        <v>1.6597500000000199E-3</v>
      </c>
      <c r="M41">
        <f>MAX($E18:M18)</f>
        <v>1.6597500000000199E-3</v>
      </c>
      <c r="N41">
        <f>MAX($E18:N18)</f>
        <v>1.6597500000000199E-3</v>
      </c>
      <c r="O41">
        <f>MAX($E18:O18)</f>
        <v>1.6597500000000199E-3</v>
      </c>
      <c r="P41">
        <f>MAX($E18:P18)</f>
        <v>1.6597500000000199E-3</v>
      </c>
      <c r="Q41">
        <f>MAX($E18:Q18)</f>
        <v>1.6597500000000199E-3</v>
      </c>
      <c r="R41">
        <f>MAX($E18:R18)</f>
        <v>1.6597500000000199E-3</v>
      </c>
      <c r="S41">
        <f>MAX($E18:S18)</f>
        <v>1.6597500000000199E-3</v>
      </c>
      <c r="T41">
        <f>MAX($E18:T18)</f>
        <v>1.6597500000000199E-3</v>
      </c>
      <c r="U41">
        <f>MAX($E18:U18)</f>
        <v>2.6425000000001001E-3</v>
      </c>
      <c r="V41">
        <f>MAX($E18:V18)</f>
        <v>2.6425000000001001E-3</v>
      </c>
      <c r="W41">
        <f>MAX($E18:W18)</f>
        <v>2.6425000000001001E-3</v>
      </c>
      <c r="X41">
        <f>MAX($E18:X18)</f>
        <v>2.6425000000001001E-3</v>
      </c>
      <c r="Y41">
        <f>MAX($E18:Y18)</f>
        <v>2.6425000000001001E-3</v>
      </c>
      <c r="Z41">
        <f>MAX($E18:Z18)</f>
        <v>3.8692499999999998E-2</v>
      </c>
      <c r="AA41">
        <f>MAX($E18:AA18)</f>
        <v>4.5532500000000198E-2</v>
      </c>
      <c r="AB41">
        <f>MAX($E18:AB18)</f>
        <v>4.5532500000000198E-2</v>
      </c>
      <c r="AC41">
        <f>MAX($E18:AC18)</f>
        <v>0.1925375</v>
      </c>
      <c r="AD41">
        <f>MAX($E18:AD18)</f>
        <v>0.19950499999999999</v>
      </c>
      <c r="AE41">
        <f>MAX($E18:AE18)</f>
        <v>0.20007249999999999</v>
      </c>
      <c r="AF41">
        <f>MAX($E18:AF18)</f>
        <v>0.31004500000000002</v>
      </c>
      <c r="AG41">
        <f>MAX($E18:AG18)</f>
        <v>0.31456250000000102</v>
      </c>
      <c r="AH41">
        <f>MAX($E18:AH18)</f>
        <v>0.31953999999999999</v>
      </c>
      <c r="AI41">
        <f>MAX($E18:AI18)</f>
        <v>0.63569500000000001</v>
      </c>
      <c r="AJ41">
        <f>MAX($E18:AJ18)</f>
        <v>0.64181999999999995</v>
      </c>
      <c r="AK41">
        <f>MAX($E18:AK18)</f>
        <v>0.64519499999999996</v>
      </c>
      <c r="AL41">
        <f>MAX($E18:AL18)</f>
        <v>0.86644750000000104</v>
      </c>
      <c r="AM41">
        <f>MAX($E18:AM18)</f>
        <v>0.86711249999999995</v>
      </c>
      <c r="AN41">
        <f>MAX($E18:AN18)</f>
        <v>0.86995499999999903</v>
      </c>
      <c r="AO41">
        <f>MAX($E18:AO18)</f>
        <v>1.0141875</v>
      </c>
      <c r="AP41">
        <f>MAX($E18:AP18)</f>
        <v>1.0218</v>
      </c>
      <c r="AQ41">
        <f>MAX($E18:AQ18)</f>
        <v>1.04535</v>
      </c>
      <c r="AR41">
        <f>MAX($E18:AR18)</f>
        <v>1.1817325000000001</v>
      </c>
      <c r="AS41">
        <f>MAX($E18:AS18)</f>
        <v>1.1895549999999999</v>
      </c>
      <c r="AT41">
        <f>MAX($E18:AT18)</f>
        <v>1.1948875000000001</v>
      </c>
      <c r="AU41">
        <f>MAX($E18:AU18)</f>
        <v>1.205335</v>
      </c>
      <c r="AV41">
        <f>MAX($E18:AV18)</f>
        <v>1.212375</v>
      </c>
      <c r="AW41">
        <f>MAX($E18:AW18)</f>
        <v>1.2177975000000001</v>
      </c>
      <c r="AX41">
        <f>MAX($E18:AX18)</f>
        <v>1.2319225</v>
      </c>
      <c r="AY41">
        <f>MAX($E18:AY18)</f>
        <v>1.233465</v>
      </c>
      <c r="AZ41">
        <f>MAX($E18:AZ18)</f>
        <v>1.2415350000000001</v>
      </c>
      <c r="BA41">
        <f>MAX($E18:BA18)</f>
        <v>1.25786</v>
      </c>
      <c r="BB41">
        <f>MAX($E18:BB18)</f>
        <v>1.2610275</v>
      </c>
      <c r="BC41">
        <f>MAX($E18:BC18)</f>
        <v>1.265665</v>
      </c>
      <c r="BD41">
        <f>MAX($E18:BD18)</f>
        <v>1.2997875000000001</v>
      </c>
      <c r="BE41">
        <f>MAX($E18:BE18)</f>
        <v>1.3163324999999999</v>
      </c>
      <c r="BF41">
        <f>MAX($E18:BF18)</f>
        <v>1.3470575</v>
      </c>
      <c r="BG41">
        <f>MAX($E18:BG18)</f>
        <v>1.3619224999999999</v>
      </c>
      <c r="BH41">
        <f>MAX($E18:BH18)</f>
        <v>1.434855</v>
      </c>
      <c r="BI41">
        <f>MAX($E18:BI18)</f>
        <v>1.4792700000000001</v>
      </c>
    </row>
    <row r="42" spans="1:62" x14ac:dyDescent="0.25">
      <c r="A42">
        <f t="shared" si="4"/>
        <v>1.93160621761658</v>
      </c>
      <c r="B42">
        <f t="shared" si="4"/>
        <v>2.2367999999999997</v>
      </c>
      <c r="C42">
        <f t="shared" si="4"/>
        <v>0.51770386266094426</v>
      </c>
      <c r="E42">
        <f>MAX($E19:E19)</f>
        <v>0</v>
      </c>
      <c r="F42">
        <f>MAX($E19:F19)</f>
        <v>0</v>
      </c>
      <c r="G42">
        <f>MAX($E19:G19)</f>
        <v>0</v>
      </c>
      <c r="H42">
        <f>MAX($E19:H19)</f>
        <v>0</v>
      </c>
      <c r="I42">
        <f>MAX($E19:I19)</f>
        <v>0</v>
      </c>
      <c r="J42">
        <f>MAX($E19:J19)</f>
        <v>0</v>
      </c>
      <c r="K42">
        <f>MAX($E19:K19)</f>
        <v>0</v>
      </c>
      <c r="L42">
        <f>MAX($E19:L19)</f>
        <v>0</v>
      </c>
      <c r="M42">
        <f>MAX($E19:M19)</f>
        <v>0</v>
      </c>
      <c r="N42">
        <f>MAX($E19:N19)</f>
        <v>0</v>
      </c>
      <c r="O42">
        <f>MAX($E19:O19)</f>
        <v>0</v>
      </c>
      <c r="P42">
        <f>MAX($E19:P19)</f>
        <v>0</v>
      </c>
      <c r="Q42">
        <f>MAX($E19:Q19)</f>
        <v>0</v>
      </c>
      <c r="R42">
        <f>MAX($E19:R19)</f>
        <v>0</v>
      </c>
      <c r="S42">
        <f>MAX($E19:S19)</f>
        <v>0</v>
      </c>
      <c r="T42">
        <f>MAX($E19:T19)</f>
        <v>0</v>
      </c>
      <c r="U42">
        <f>MAX($E19:U19)</f>
        <v>0</v>
      </c>
      <c r="V42">
        <f>MAX($E19:V19)</f>
        <v>0</v>
      </c>
      <c r="W42">
        <f>MAX($E19:W19)</f>
        <v>0</v>
      </c>
      <c r="X42">
        <f>MAX($E19:X19)</f>
        <v>0</v>
      </c>
      <c r="Y42">
        <f>MAX($E19:Y19)</f>
        <v>0</v>
      </c>
      <c r="Z42">
        <f>MAX($E19:Z19)</f>
        <v>0</v>
      </c>
      <c r="AA42">
        <f>MAX($E19:AA19)</f>
        <v>0</v>
      </c>
      <c r="AB42">
        <f>MAX($E19:AB19)</f>
        <v>0</v>
      </c>
      <c r="AC42">
        <f>MAX($E19:AC19)</f>
        <v>7.0292499999999897E-2</v>
      </c>
      <c r="AD42">
        <f>MAX($E19:AD19)</f>
        <v>9.2399999999999594E-2</v>
      </c>
      <c r="AE42">
        <f>MAX($E19:AE19)</f>
        <v>9.2399999999999594E-2</v>
      </c>
      <c r="AF42">
        <f>MAX($E19:AF19)</f>
        <v>0.16089999999999999</v>
      </c>
      <c r="AG42">
        <f>MAX($E19:AG19)</f>
        <v>0.16310749999999999</v>
      </c>
      <c r="AH42">
        <f>MAX($E19:AH19)</f>
        <v>0.1680825</v>
      </c>
      <c r="AI42">
        <f>MAX($E19:AI19)</f>
        <v>0.46521249999999997</v>
      </c>
      <c r="AJ42">
        <f>MAX($E19:AJ19)</f>
        <v>0.47035250000000001</v>
      </c>
      <c r="AK42">
        <f>MAX($E19:AK19)</f>
        <v>0.47072000000000003</v>
      </c>
      <c r="AL42">
        <f>MAX($E19:AL19)</f>
        <v>0.68006750000000105</v>
      </c>
      <c r="AM42">
        <f>MAX($E19:AM19)</f>
        <v>0.68006750000000105</v>
      </c>
      <c r="AN42">
        <f>MAX($E19:AN19)</f>
        <v>0.68091999999999997</v>
      </c>
      <c r="AO42">
        <f>MAX($E19:AO19)</f>
        <v>0.86729999999999996</v>
      </c>
      <c r="AP42">
        <f>MAX($E19:AP19)</f>
        <v>0.87634749999999995</v>
      </c>
      <c r="AQ42">
        <f>MAX($E19:AQ19)</f>
        <v>0.91288749999999996</v>
      </c>
      <c r="AR42">
        <f>MAX($E19:AR19)</f>
        <v>1.1063400000000001</v>
      </c>
      <c r="AS42">
        <f>MAX($E19:AS19)</f>
        <v>1.1225099999999999</v>
      </c>
      <c r="AT42">
        <f>MAX($E19:AT19)</f>
        <v>1.1267799999999999</v>
      </c>
      <c r="AU42">
        <f>MAX($E19:AU19)</f>
        <v>1.1509974999999999</v>
      </c>
      <c r="AV42">
        <f>MAX($E19:AV19)</f>
        <v>1.17303</v>
      </c>
      <c r="AW42">
        <f>MAX($E19:AW19)</f>
        <v>1.185125</v>
      </c>
      <c r="AX42">
        <f>MAX($E19:AX19)</f>
        <v>1.2074625000000001</v>
      </c>
      <c r="AY42">
        <f>MAX($E19:AY19)</f>
        <v>1.2116024999999999</v>
      </c>
      <c r="AZ42">
        <f>MAX($E19:AZ19)</f>
        <v>1.2262500000000001</v>
      </c>
      <c r="BA42">
        <f>MAX($E19:BA19)</f>
        <v>1.250605</v>
      </c>
      <c r="BB42">
        <f>MAX($E19:BB19)</f>
        <v>1.2553650000000001</v>
      </c>
      <c r="BC42">
        <f>MAX($E19:BC19)</f>
        <v>1.2661249999999999</v>
      </c>
      <c r="BD42">
        <f>MAX($E19:BD19)</f>
        <v>1.3217075</v>
      </c>
      <c r="BE42">
        <f>MAX($E19:BE19)</f>
        <v>1.3448925</v>
      </c>
      <c r="BF42">
        <f>MAX($E19:BF19)</f>
        <v>1.4131499999999999</v>
      </c>
      <c r="BG42">
        <f>MAX($E19:BG19)</f>
        <v>1.4407399999999999</v>
      </c>
      <c r="BH42">
        <f>MAX($E19:BH19)</f>
        <v>1.5990774999999999</v>
      </c>
      <c r="BI42">
        <f>MAX($E19:BI19)</f>
        <v>1.7341175</v>
      </c>
    </row>
    <row r="43" spans="1:62" x14ac:dyDescent="0.25">
      <c r="A43">
        <f t="shared" ref="A43:C43" si="5">A20</f>
        <v>1.84525043177893</v>
      </c>
      <c r="B43">
        <f t="shared" si="5"/>
        <v>2.1368000000000009</v>
      </c>
      <c r="C43">
        <f t="shared" si="5"/>
        <v>0.54193186072631949</v>
      </c>
      <c r="E43">
        <f>MAX($E20:E20)</f>
        <v>0</v>
      </c>
      <c r="F43">
        <f>MAX($E20:F20)</f>
        <v>0</v>
      </c>
      <c r="G43">
        <f>MAX($E20:G20)</f>
        <v>0</v>
      </c>
      <c r="H43">
        <f>MAX($E20:H20)</f>
        <v>0</v>
      </c>
      <c r="I43">
        <f>MAX($E20:I20)</f>
        <v>0</v>
      </c>
      <c r="J43">
        <f>MAX($E20:J20)</f>
        <v>0</v>
      </c>
      <c r="K43">
        <f>MAX($E20:K20)</f>
        <v>0</v>
      </c>
      <c r="L43">
        <f>MAX($E20:L20)</f>
        <v>0</v>
      </c>
      <c r="M43">
        <f>MAX($E20:M20)</f>
        <v>0</v>
      </c>
      <c r="N43">
        <f>MAX($E20:N20)</f>
        <v>0</v>
      </c>
      <c r="O43">
        <f>MAX($E20:O20)</f>
        <v>0</v>
      </c>
      <c r="P43">
        <f>MAX($E20:P20)</f>
        <v>0</v>
      </c>
      <c r="Q43">
        <f>MAX($E20:Q20)</f>
        <v>0</v>
      </c>
      <c r="R43">
        <f>MAX($E20:R20)</f>
        <v>0</v>
      </c>
      <c r="S43">
        <f>MAX($E20:S20)</f>
        <v>0</v>
      </c>
      <c r="T43">
        <f>MAX($E20:T20)</f>
        <v>0</v>
      </c>
      <c r="U43">
        <f>MAX($E20:U20)</f>
        <v>0</v>
      </c>
      <c r="V43">
        <f>MAX($E20:V20)</f>
        <v>0</v>
      </c>
      <c r="W43">
        <f>MAX($E20:W20)</f>
        <v>0</v>
      </c>
      <c r="X43">
        <f>MAX($E20:X20)</f>
        <v>0</v>
      </c>
      <c r="Y43">
        <f>MAX($E20:Y20)</f>
        <v>0</v>
      </c>
      <c r="Z43">
        <f>MAX($E20:Z20)</f>
        <v>0</v>
      </c>
      <c r="AA43">
        <f>MAX($E20:AA20)</f>
        <v>0</v>
      </c>
      <c r="AB43">
        <f>MAX($E20:AB20)</f>
        <v>0</v>
      </c>
      <c r="AC43">
        <f>MAX($E20:AC20)</f>
        <v>6.2575000000002498E-3</v>
      </c>
      <c r="AD43">
        <f>MAX($E20:AD20)</f>
        <v>3.9282500000000102E-2</v>
      </c>
      <c r="AE43">
        <f>MAX($E20:AE20)</f>
        <v>3.9282500000000102E-2</v>
      </c>
      <c r="AF43">
        <f>MAX($E20:AF20)</f>
        <v>6.4732499999999901E-2</v>
      </c>
      <c r="AG43">
        <f>MAX($E20:AG20)</f>
        <v>6.4732499999999901E-2</v>
      </c>
      <c r="AH43">
        <f>MAX($E20:AH20)</f>
        <v>7.4395000000000405E-2</v>
      </c>
      <c r="AI43">
        <f>MAX($E20:AI20)</f>
        <v>0.35358249999999902</v>
      </c>
      <c r="AJ43">
        <f>MAX($E20:AJ20)</f>
        <v>0.3587225</v>
      </c>
      <c r="AK43">
        <f>MAX($E20:AK20)</f>
        <v>0.3587225</v>
      </c>
      <c r="AL43">
        <f>MAX($E20:AL20)</f>
        <v>0.55962250000000202</v>
      </c>
      <c r="AM43">
        <f>MAX($E20:AM20)</f>
        <v>0.55962250000000202</v>
      </c>
      <c r="AN43">
        <f>MAX($E20:AN20)</f>
        <v>0.55962250000000202</v>
      </c>
      <c r="AO43">
        <f>MAX($E20:AO20)</f>
        <v>0.73661999999999905</v>
      </c>
      <c r="AP43">
        <f>MAX($E20:AP20)</f>
        <v>0.74491249999999898</v>
      </c>
      <c r="AQ43">
        <f>MAX($E20:AQ20)</f>
        <v>0.79077750000000002</v>
      </c>
      <c r="AR43">
        <f>MAX($E20:AR20)</f>
        <v>1.0061525</v>
      </c>
      <c r="AS43">
        <f>MAX($E20:AS20)</f>
        <v>1.0321674999999999</v>
      </c>
      <c r="AT43">
        <f>MAX($E20:AT20)</f>
        <v>1.0335624999999999</v>
      </c>
      <c r="AU43">
        <f>MAX($E20:AU20)</f>
        <v>1.06873</v>
      </c>
      <c r="AV43">
        <f>MAX($E20:AV20)</f>
        <v>1.0973575</v>
      </c>
      <c r="AW43">
        <f>MAX($E20:AW20)</f>
        <v>1.1130424999999999</v>
      </c>
      <c r="AX43">
        <f>MAX($E20:AX20)</f>
        <v>1.14171</v>
      </c>
      <c r="AY43">
        <f>MAX($E20:AY20)</f>
        <v>1.14747</v>
      </c>
      <c r="AZ43">
        <f>MAX($E20:AZ20)</f>
        <v>1.17039</v>
      </c>
      <c r="BA43">
        <f>MAX($E20:BA20)</f>
        <v>1.1922375000000001</v>
      </c>
      <c r="BB43">
        <f>MAX($E20:BB20)</f>
        <v>1.1974050000000001</v>
      </c>
      <c r="BC43">
        <f>MAX($E20:BC20)</f>
        <v>1.2130175000000001</v>
      </c>
      <c r="BD43">
        <f>MAX($E20:BD20)</f>
        <v>1.2767550000000001</v>
      </c>
      <c r="BE43">
        <f>MAX($E20:BE20)</f>
        <v>1.3050025000000001</v>
      </c>
      <c r="BF43">
        <f>MAX($E20:BF20)</f>
        <v>1.3956975</v>
      </c>
      <c r="BG43">
        <f>MAX($E20:BG20)</f>
        <v>1.4237249999999999</v>
      </c>
      <c r="BH43">
        <f>MAX($E20:BH20)</f>
        <v>1.6314550000000001</v>
      </c>
      <c r="BI43">
        <f>MAX($E20:BI20)</f>
        <v>1.7961050000000001</v>
      </c>
    </row>
    <row r="47" spans="1:62" x14ac:dyDescent="0.25">
      <c r="D47" s="2" t="s">
        <v>1</v>
      </c>
      <c r="E47">
        <f>MAX(E26:E45)</f>
        <v>0</v>
      </c>
      <c r="F47">
        <f t="shared" ref="F47:BI47" si="6">MAX(F26:F45)</f>
        <v>1.9465985000000002E-2</v>
      </c>
      <c r="G47">
        <f t="shared" si="6"/>
        <v>2.282872E-2</v>
      </c>
      <c r="H47">
        <f t="shared" si="6"/>
        <v>3.6825999999999998E-2</v>
      </c>
      <c r="I47">
        <f t="shared" si="6"/>
        <v>3.6825999999999998E-2</v>
      </c>
      <c r="J47">
        <f t="shared" si="6"/>
        <v>3.6825999999999998E-2</v>
      </c>
      <c r="K47">
        <f t="shared" si="6"/>
        <v>4.4934000000000002E-2</v>
      </c>
      <c r="L47">
        <f t="shared" si="6"/>
        <v>4.7690499999999997E-2</v>
      </c>
      <c r="M47">
        <f t="shared" si="6"/>
        <v>4.7690499999999997E-2</v>
      </c>
      <c r="N47">
        <f t="shared" si="6"/>
        <v>8.8887749999999904E-2</v>
      </c>
      <c r="O47">
        <f t="shared" si="6"/>
        <v>8.8887749999999904E-2</v>
      </c>
      <c r="P47">
        <f t="shared" si="6"/>
        <v>8.8887749999999904E-2</v>
      </c>
      <c r="Q47">
        <f t="shared" si="6"/>
        <v>0.29649199999999998</v>
      </c>
      <c r="R47">
        <f t="shared" si="6"/>
        <v>0.30921399999999999</v>
      </c>
      <c r="S47">
        <f t="shared" si="6"/>
        <v>0.30921399999999999</v>
      </c>
      <c r="T47">
        <f t="shared" si="6"/>
        <v>0.57692500000000002</v>
      </c>
      <c r="U47">
        <f t="shared" si="6"/>
        <v>0.59200050000000004</v>
      </c>
      <c r="V47">
        <f t="shared" si="6"/>
        <v>0.59200050000000004</v>
      </c>
      <c r="W47">
        <f t="shared" si="6"/>
        <v>0.93832475000000004</v>
      </c>
      <c r="X47">
        <f t="shared" si="6"/>
        <v>0.95066399999999995</v>
      </c>
      <c r="Y47">
        <f t="shared" si="6"/>
        <v>0.95246500000000001</v>
      </c>
      <c r="Z47">
        <f t="shared" si="6"/>
        <v>1.0443677499999999</v>
      </c>
      <c r="AA47">
        <f t="shared" si="6"/>
        <v>1.0443677499999999</v>
      </c>
      <c r="AB47">
        <f t="shared" si="6"/>
        <v>1.0443677499999999</v>
      </c>
      <c r="AC47">
        <f t="shared" si="6"/>
        <v>1.1792180000000001</v>
      </c>
      <c r="AD47">
        <f t="shared" si="6"/>
        <v>1.182072</v>
      </c>
      <c r="AE47">
        <f t="shared" si="6"/>
        <v>1.182072</v>
      </c>
      <c r="AF47">
        <f t="shared" si="6"/>
        <v>1.3597524999999999</v>
      </c>
      <c r="AG47">
        <f t="shared" si="6"/>
        <v>1.3597524999999999</v>
      </c>
      <c r="AH47">
        <f t="shared" si="6"/>
        <v>1.3597524999999999</v>
      </c>
      <c r="AI47">
        <f t="shared" si="6"/>
        <v>1.5193175000000001</v>
      </c>
      <c r="AJ47">
        <f t="shared" si="6"/>
        <v>1.5223225</v>
      </c>
      <c r="AK47">
        <f t="shared" si="6"/>
        <v>1.5223225</v>
      </c>
      <c r="AL47">
        <f t="shared" si="6"/>
        <v>1.7078225</v>
      </c>
      <c r="AM47">
        <f t="shared" si="6"/>
        <v>1.7078225</v>
      </c>
      <c r="AN47">
        <f t="shared" si="6"/>
        <v>1.710475</v>
      </c>
      <c r="AO47">
        <f t="shared" si="6"/>
        <v>1.8260425</v>
      </c>
      <c r="AP47">
        <f t="shared" si="6"/>
        <v>1.8260425</v>
      </c>
      <c r="AQ47">
        <f t="shared" si="6"/>
        <v>1.8260425</v>
      </c>
      <c r="AR47">
        <f t="shared" si="6"/>
        <v>1.8754325000000001</v>
      </c>
      <c r="AS47">
        <f t="shared" si="6"/>
        <v>1.8765449999999999</v>
      </c>
      <c r="AT47">
        <f t="shared" si="6"/>
        <v>1.8824574999999999</v>
      </c>
      <c r="AU47">
        <f t="shared" si="6"/>
        <v>1.8824574999999999</v>
      </c>
      <c r="AV47">
        <f t="shared" si="6"/>
        <v>1.8824574999999999</v>
      </c>
      <c r="AW47">
        <f t="shared" si="6"/>
        <v>1.8824574999999999</v>
      </c>
      <c r="AX47">
        <f t="shared" si="6"/>
        <v>1.8824574999999999</v>
      </c>
      <c r="AY47">
        <f t="shared" si="6"/>
        <v>1.8824574999999999</v>
      </c>
      <c r="AZ47">
        <f t="shared" si="6"/>
        <v>1.8824574999999999</v>
      </c>
      <c r="BA47">
        <f t="shared" si="6"/>
        <v>1.8944099999999999</v>
      </c>
      <c r="BB47">
        <f t="shared" si="6"/>
        <v>1.8956500000000001</v>
      </c>
      <c r="BC47">
        <f t="shared" si="6"/>
        <v>1.8956500000000001</v>
      </c>
      <c r="BD47">
        <f t="shared" si="6"/>
        <v>1.9292199999999999</v>
      </c>
      <c r="BE47">
        <f t="shared" si="6"/>
        <v>1.9331324999999999</v>
      </c>
      <c r="BF47">
        <f t="shared" si="6"/>
        <v>1.9331324999999999</v>
      </c>
      <c r="BG47">
        <f t="shared" si="6"/>
        <v>1.9331324999999999</v>
      </c>
      <c r="BH47">
        <f t="shared" si="6"/>
        <v>1.9331324999999999</v>
      </c>
      <c r="BI47">
        <f t="shared" si="6"/>
        <v>1.9331324999999999</v>
      </c>
      <c r="BJ47">
        <v>10</v>
      </c>
    </row>
    <row r="48" spans="1:62" x14ac:dyDescent="0.25">
      <c r="D48" s="2" t="s">
        <v>38</v>
      </c>
      <c r="E48" s="8" cm="1">
        <f t="array" ref="E48">MAX($C26:$C45*E26:E45)</f>
        <v>0</v>
      </c>
      <c r="F48" s="8" cm="1">
        <f t="array" ref="F48">MAX($C26:$C45*F26:F45)</f>
        <v>6.7554575131862924E-3</v>
      </c>
      <c r="G48" s="8" cm="1">
        <f t="array" ref="G48">MAX($C26:$C45*G26:G45)</f>
        <v>9.0015178970307749E-3</v>
      </c>
      <c r="H48" s="8" cm="1">
        <f t="array" ref="H48">MAX($C26:$C45*H26:H45)</f>
        <v>1.359490818668707E-2</v>
      </c>
      <c r="I48" s="8" cm="1">
        <f t="array" ref="I48">MAX($C26:$C45*I26:I45)</f>
        <v>1.359490818668707E-2</v>
      </c>
      <c r="J48" s="8" cm="1">
        <f t="array" ref="J48">MAX($C26:$C45*J26:J45)</f>
        <v>1.359490818668707E-2</v>
      </c>
      <c r="K48" s="8" cm="1">
        <f t="array" ref="K48">MAX($C26:$C45*K26:K45)</f>
        <v>1.6491107976281564E-2</v>
      </c>
      <c r="L48" s="8" cm="1">
        <f t="array" ref="L48">MAX($C26:$C45*L26:L45)</f>
        <v>1.6491107976281564E-2</v>
      </c>
      <c r="M48" s="8" cm="1">
        <f t="array" ref="M48">MAX($C26:$C45*M26:M45)</f>
        <v>1.6491107976281564E-2</v>
      </c>
      <c r="N48" s="8" cm="1">
        <f t="array" ref="N48">MAX($C26:$C45*N26:N45)</f>
        <v>2.6827568416388614E-2</v>
      </c>
      <c r="O48" s="8" cm="1">
        <f t="array" ref="O48">MAX($C26:$C45*O26:O45)</f>
        <v>2.6827568416388614E-2</v>
      </c>
      <c r="P48" s="8" cm="1">
        <f t="array" ref="P48">MAX($C26:$C45*P26:P45)</f>
        <v>2.6827568416388614E-2</v>
      </c>
      <c r="Q48" s="8" cm="1">
        <f t="array" ref="Q48">MAX($C26:$C45*Q26:Q45)</f>
        <v>8.9485439949958237E-2</v>
      </c>
      <c r="R48" s="8" cm="1">
        <f t="array" ref="R48">MAX($C26:$C45*R26:R45)</f>
        <v>9.3325117806505362E-2</v>
      </c>
      <c r="S48" s="8" cm="1">
        <f t="array" ref="S48">MAX($C26:$C45*S26:S45)</f>
        <v>9.3325117806505362E-2</v>
      </c>
      <c r="T48" s="8" cm="1">
        <f t="array" ref="T48">MAX($C26:$C45*T26:T45)</f>
        <v>0.17412404868640524</v>
      </c>
      <c r="U48" s="8" cm="1">
        <f t="array" ref="U48">MAX($C26:$C45*U26:U45)</f>
        <v>0.17867404581943278</v>
      </c>
      <c r="V48" s="8" cm="1">
        <f t="array" ref="V48">MAX($C26:$C45*V26:V45)</f>
        <v>0.17867404581943278</v>
      </c>
      <c r="W48" s="8" cm="1">
        <f t="array" ref="W48">MAX($C26:$C45*W26:W45)</f>
        <v>0.28572684690109157</v>
      </c>
      <c r="X48" s="8" cm="1">
        <f t="array" ref="X48">MAX($C26:$C45*X26:X45)</f>
        <v>0.28777352079319179</v>
      </c>
      <c r="Y48" s="8" cm="1">
        <f t="array" ref="Y48">MAX($C26:$C45*Y26:Y45)</f>
        <v>0.28918488851594365</v>
      </c>
      <c r="Z48" s="8" cm="1">
        <f t="array" ref="Z48">MAX($C26:$C45*Z26:Z45)</f>
        <v>0.33777148750299713</v>
      </c>
      <c r="AA48" s="8" cm="1">
        <f t="array" ref="AA48">MAX($C26:$C45*AA26:AA45)</f>
        <v>0.33810959032606119</v>
      </c>
      <c r="AB48" s="8" cm="1">
        <f t="array" ref="AB48">MAX($C26:$C45*AB26:AB45)</f>
        <v>0.33810959032606119</v>
      </c>
      <c r="AC48" s="8" cm="1">
        <f t="array" ref="AC48">MAX($C26:$C45*AC26:AC45)</f>
        <v>0.39673507552145804</v>
      </c>
      <c r="AD48" s="8" cm="1">
        <f t="array" ref="AD48">MAX($C26:$C45*AD26:AD45)</f>
        <v>0.39673507552145804</v>
      </c>
      <c r="AE48" s="8" cm="1">
        <f t="array" ref="AE48">MAX($C26:$C45*AE26:AE45)</f>
        <v>0.39673507552145804</v>
      </c>
      <c r="AF48" s="8" cm="1">
        <f t="array" ref="AF48">MAX($C26:$C45*AF26:AF45)</f>
        <v>0.44993790158235475</v>
      </c>
      <c r="AG48" s="8" cm="1">
        <f t="array" ref="AG48">MAX($C26:$C45*AG26:AG45)</f>
        <v>0.45362866219132142</v>
      </c>
      <c r="AH48" s="8" cm="1">
        <f t="array" ref="AH48">MAX($C26:$C45*AH26:AH45)</f>
        <v>0.45362866219132142</v>
      </c>
      <c r="AI48" s="8" cm="1">
        <f t="array" ref="AI48">MAX($C26:$C45*AI26:AI45)</f>
        <v>0.51541276547329984</v>
      </c>
      <c r="AJ48" s="8" cm="1">
        <f t="array" ref="AJ48">MAX($C26:$C45*AJ26:AJ45)</f>
        <v>0.51821685755461044</v>
      </c>
      <c r="AK48" s="8" cm="1">
        <f t="array" ref="AK48">MAX($C26:$C45*AK26:AK45)</f>
        <v>0.52152379778519298</v>
      </c>
      <c r="AL48" s="8" cm="1">
        <f t="array" ref="AL48">MAX($C26:$C45*AL26:AL45)</f>
        <v>0.59621211885618797</v>
      </c>
      <c r="AM48" s="8" cm="1">
        <f t="array" ref="AM48">MAX($C26:$C45*AM26:AM45)</f>
        <v>0.60037214426577534</v>
      </c>
      <c r="AN48" s="8" cm="1">
        <f t="array" ref="AN48">MAX($C26:$C45*AN26:AN45)</f>
        <v>0.60106273702973156</v>
      </c>
      <c r="AO48" s="8" cm="1">
        <f t="array" ref="AO48">MAX($C26:$C45*AO26:AO45)</f>
        <v>0.64524749886225585</v>
      </c>
      <c r="AP48" s="8" cm="1">
        <f t="array" ref="AP48">MAX($C26:$C45*AP26:AP45)</f>
        <v>0.65177793727244993</v>
      </c>
      <c r="AQ48" s="8" cm="1">
        <f t="array" ref="AQ48">MAX($C26:$C45*AQ26:AQ45)</f>
        <v>0.65408137704793534</v>
      </c>
      <c r="AR48" s="8" cm="1">
        <f t="array" ref="AR48">MAX($C26:$C45*AR26:AR45)</f>
        <v>0.70165761908373625</v>
      </c>
      <c r="AS48" s="8" cm="1">
        <f t="array" ref="AS48">MAX($C26:$C45*AS26:AS45)</f>
        <v>0.70165761908373625</v>
      </c>
      <c r="AT48" s="8" cm="1">
        <f t="array" ref="AT48">MAX($C26:$C45*AT26:AT45)</f>
        <v>0.70649835596177024</v>
      </c>
      <c r="AU48" s="8" cm="1">
        <f t="array" ref="AU48">MAX($C26:$C45*AU26:AU45)</f>
        <v>0.70649835596177024</v>
      </c>
      <c r="AV48" s="8" cm="1">
        <f t="array" ref="AV48">MAX($C26:$C45*AV26:AV45)</f>
        <v>0.70759737560679448</v>
      </c>
      <c r="AW48" s="8" cm="1">
        <f t="array" ref="AW48">MAX($C26:$C45*AW26:AW45)</f>
        <v>0.70759737560679448</v>
      </c>
      <c r="AX48" s="8" cm="1">
        <f t="array" ref="AX48">MAX($C26:$C45*AX26:AX45)</f>
        <v>0.71168493818264389</v>
      </c>
      <c r="AY48" s="8" cm="1">
        <f t="array" ref="AY48">MAX($C26:$C45*AY26:AY45)</f>
        <v>0.71215484868021683</v>
      </c>
      <c r="AZ48" s="8" cm="1">
        <f t="array" ref="AZ48">MAX($C26:$C45*AZ26:AZ45)</f>
        <v>0.71338891269720706</v>
      </c>
      <c r="BA48" s="8" cm="1">
        <f t="array" ref="BA48">MAX($C26:$C45*BA26:BA45)</f>
        <v>0.72198527381674737</v>
      </c>
      <c r="BB48" s="8" cm="1">
        <f t="array" ref="BB48">MAX($C26:$C45*BB26:BB45)</f>
        <v>0.72293278026395613</v>
      </c>
      <c r="BC48" s="8" cm="1">
        <f t="array" ref="BC48">MAX($C26:$C45*BC26:BC45)</f>
        <v>0.72293278026395613</v>
      </c>
      <c r="BD48" s="8" cm="1">
        <f t="array" ref="BD48">MAX($C26:$C45*BD26:BD45)</f>
        <v>0.73665789972694151</v>
      </c>
      <c r="BE48" s="8" cm="1">
        <f t="array" ref="BE48">MAX($C26:$C45*BE26:BE45)</f>
        <v>0.74282456007281239</v>
      </c>
      <c r="BF48" s="8" cm="1">
        <f t="array" ref="BF48">MAX($C26:$C45*BF26:BF45)</f>
        <v>0.75637294318607229</v>
      </c>
      <c r="BG48" s="8" cm="1">
        <f t="array" ref="BG48">MAX($C26:$C45*BG26:BG45)</f>
        <v>0.77156193841257914</v>
      </c>
      <c r="BH48" s="8" cm="1">
        <f t="array" ref="BH48">MAX($C26:$C45*BH26:BH45)</f>
        <v>0.88413744384125759</v>
      </c>
      <c r="BI48" s="8" cm="1">
        <f t="array" ref="BI48">MAX($C26:$C45*BI26:BI45)</f>
        <v>0.97336652470984608</v>
      </c>
      <c r="BJ48">
        <v>10</v>
      </c>
    </row>
    <row r="49" spans="1:62" x14ac:dyDescent="0.25">
      <c r="D49" s="2" t="s">
        <v>32</v>
      </c>
      <c r="E49">
        <f>MAX($E25:$BI25)/E25</f>
        <v>6.1</v>
      </c>
      <c r="F49">
        <f t="shared" ref="F49:BI49" si="7">MAX($E25:$BI25)/F25</f>
        <v>6.1</v>
      </c>
      <c r="G49">
        <f t="shared" si="7"/>
        <v>6.1</v>
      </c>
      <c r="H49">
        <f t="shared" si="7"/>
        <v>3.3577981651376145</v>
      </c>
      <c r="I49">
        <f t="shared" si="7"/>
        <v>3.3577981651376145</v>
      </c>
      <c r="J49">
        <f t="shared" si="7"/>
        <v>3.3577981651376145</v>
      </c>
      <c r="K49">
        <f t="shared" si="7"/>
        <v>2.2875000000000001</v>
      </c>
      <c r="L49">
        <f t="shared" si="7"/>
        <v>2.2875000000000001</v>
      </c>
      <c r="M49">
        <f t="shared" si="7"/>
        <v>2.2875000000000001</v>
      </c>
      <c r="N49">
        <f t="shared" si="7"/>
        <v>2.2875000000000001</v>
      </c>
      <c r="O49">
        <f t="shared" si="7"/>
        <v>2.2875000000000001</v>
      </c>
      <c r="P49">
        <f t="shared" si="7"/>
        <v>2.2875000000000001</v>
      </c>
      <c r="Q49">
        <f t="shared" si="7"/>
        <v>1.8963730569948187</v>
      </c>
      <c r="R49">
        <f t="shared" si="7"/>
        <v>1.8865979381443299</v>
      </c>
      <c r="S49">
        <f t="shared" si="7"/>
        <v>1.8865979381443299</v>
      </c>
      <c r="T49">
        <f t="shared" si="7"/>
        <v>1.8865979381443299</v>
      </c>
      <c r="U49">
        <f t="shared" si="7"/>
        <v>1.8865979381443299</v>
      </c>
      <c r="V49">
        <f t="shared" si="7"/>
        <v>1.8865979381443299</v>
      </c>
      <c r="W49">
        <f t="shared" si="7"/>
        <v>1.7264150943396226</v>
      </c>
      <c r="X49">
        <f t="shared" si="7"/>
        <v>1.7264150943396226</v>
      </c>
      <c r="Y49">
        <f t="shared" si="7"/>
        <v>1.7264150943396226</v>
      </c>
      <c r="Z49">
        <f t="shared" si="7"/>
        <v>1.5641025641025641</v>
      </c>
      <c r="AA49">
        <f t="shared" si="7"/>
        <v>1.5641025641025641</v>
      </c>
      <c r="AB49">
        <f t="shared" si="7"/>
        <v>1.5641025641025641</v>
      </c>
      <c r="AC49">
        <f t="shared" si="7"/>
        <v>1.4076923076923078</v>
      </c>
      <c r="AD49">
        <f t="shared" si="7"/>
        <v>1.4076923076923078</v>
      </c>
      <c r="AE49">
        <f t="shared" si="7"/>
        <v>1.4076923076923078</v>
      </c>
      <c r="AF49">
        <f t="shared" si="7"/>
        <v>1.2842105263157895</v>
      </c>
      <c r="AG49">
        <f t="shared" si="7"/>
        <v>1.2842105263157895</v>
      </c>
      <c r="AH49">
        <f t="shared" si="7"/>
        <v>1.2842105263157895</v>
      </c>
      <c r="AI49">
        <f t="shared" si="7"/>
        <v>1.1921824104234529</v>
      </c>
      <c r="AJ49">
        <f t="shared" si="7"/>
        <v>1.1921824104234529</v>
      </c>
      <c r="AK49">
        <f t="shared" si="7"/>
        <v>1.1921824104234529</v>
      </c>
      <c r="AL49">
        <f t="shared" si="7"/>
        <v>1.0925373134328358</v>
      </c>
      <c r="AM49">
        <f t="shared" si="7"/>
        <v>1.0925373134328358</v>
      </c>
      <c r="AN49">
        <f t="shared" si="7"/>
        <v>1.0925373134328358</v>
      </c>
      <c r="AO49">
        <f t="shared" si="7"/>
        <v>1.0457142857142858</v>
      </c>
      <c r="AP49">
        <f t="shared" si="7"/>
        <v>1.0457142857142858</v>
      </c>
      <c r="AQ49">
        <f t="shared" si="7"/>
        <v>1.0457142857142858</v>
      </c>
      <c r="AR49">
        <f t="shared" si="7"/>
        <v>1.0252100840336134</v>
      </c>
      <c r="AS49">
        <f t="shared" si="7"/>
        <v>1.0252100840336134</v>
      </c>
      <c r="AT49">
        <f t="shared" si="7"/>
        <v>1.0252100840336134</v>
      </c>
      <c r="AU49">
        <f t="shared" si="7"/>
        <v>1.0252100840336134</v>
      </c>
      <c r="AV49">
        <f t="shared" si="7"/>
        <v>1.0223463687150838</v>
      </c>
      <c r="AW49">
        <f t="shared" si="7"/>
        <v>1.0223463687150838</v>
      </c>
      <c r="AX49">
        <f t="shared" si="7"/>
        <v>1.0223463687150838</v>
      </c>
      <c r="AY49">
        <f t="shared" si="7"/>
        <v>1.0223463687150838</v>
      </c>
      <c r="AZ49">
        <f t="shared" si="7"/>
        <v>1.0223463687150838</v>
      </c>
      <c r="BA49">
        <f t="shared" si="7"/>
        <v>1.0166666666666666</v>
      </c>
      <c r="BB49">
        <f t="shared" si="7"/>
        <v>1.0166666666666666</v>
      </c>
      <c r="BC49">
        <f t="shared" si="7"/>
        <v>1.0166666666666666</v>
      </c>
      <c r="BD49">
        <f t="shared" si="7"/>
        <v>1.0054945054945055</v>
      </c>
      <c r="BE49">
        <f t="shared" si="7"/>
        <v>1.0027397260273974</v>
      </c>
      <c r="BF49">
        <f t="shared" si="7"/>
        <v>1</v>
      </c>
      <c r="BG49">
        <f t="shared" si="7"/>
        <v>1</v>
      </c>
      <c r="BH49">
        <f t="shared" si="7"/>
        <v>1</v>
      </c>
      <c r="BI49">
        <f t="shared" si="7"/>
        <v>1</v>
      </c>
      <c r="BJ49">
        <v>1</v>
      </c>
    </row>
    <row r="50" spans="1:62" x14ac:dyDescent="0.25">
      <c r="D50" s="2" t="s">
        <v>55</v>
      </c>
      <c r="E50" s="8">
        <f>E25/MAX($E25:$BI25)</f>
        <v>0.16393442622950818</v>
      </c>
      <c r="F50" s="8">
        <f t="shared" ref="F50:BI50" si="8">F25/MAX($E25:$BI25)</f>
        <v>0.16393442622950818</v>
      </c>
      <c r="G50" s="8">
        <f t="shared" si="8"/>
        <v>0.16393442622950818</v>
      </c>
      <c r="H50" s="8">
        <f t="shared" si="8"/>
        <v>0.29781420765027322</v>
      </c>
      <c r="I50" s="8">
        <f t="shared" si="8"/>
        <v>0.29781420765027322</v>
      </c>
      <c r="J50" s="8">
        <f t="shared" si="8"/>
        <v>0.29781420765027322</v>
      </c>
      <c r="K50" s="8">
        <f t="shared" si="8"/>
        <v>0.43715846994535518</v>
      </c>
      <c r="L50" s="8">
        <f t="shared" si="8"/>
        <v>0.43715846994535518</v>
      </c>
      <c r="M50" s="8">
        <f t="shared" si="8"/>
        <v>0.43715846994535518</v>
      </c>
      <c r="N50" s="8">
        <f t="shared" si="8"/>
        <v>0.43715846994535518</v>
      </c>
      <c r="O50" s="8">
        <f t="shared" si="8"/>
        <v>0.43715846994535518</v>
      </c>
      <c r="P50" s="8">
        <f t="shared" si="8"/>
        <v>0.43715846994535518</v>
      </c>
      <c r="Q50" s="8">
        <f t="shared" si="8"/>
        <v>0.52732240437158473</v>
      </c>
      <c r="R50" s="8">
        <f t="shared" si="8"/>
        <v>0.5300546448087432</v>
      </c>
      <c r="S50" s="8">
        <f t="shared" si="8"/>
        <v>0.5300546448087432</v>
      </c>
      <c r="T50" s="8">
        <f t="shared" si="8"/>
        <v>0.5300546448087432</v>
      </c>
      <c r="U50" s="8">
        <f t="shared" si="8"/>
        <v>0.5300546448087432</v>
      </c>
      <c r="V50" s="8">
        <f t="shared" si="8"/>
        <v>0.5300546448087432</v>
      </c>
      <c r="W50" s="8">
        <f t="shared" si="8"/>
        <v>0.57923497267759561</v>
      </c>
      <c r="X50" s="8">
        <f t="shared" si="8"/>
        <v>0.57923497267759561</v>
      </c>
      <c r="Y50" s="8">
        <f t="shared" si="8"/>
        <v>0.57923497267759561</v>
      </c>
      <c r="Z50" s="8">
        <f t="shared" si="8"/>
        <v>0.63934426229508201</v>
      </c>
      <c r="AA50" s="8">
        <f t="shared" si="8"/>
        <v>0.63934426229508201</v>
      </c>
      <c r="AB50" s="8">
        <f t="shared" si="8"/>
        <v>0.63934426229508201</v>
      </c>
      <c r="AC50" s="8">
        <f t="shared" si="8"/>
        <v>0.7103825136612022</v>
      </c>
      <c r="AD50" s="8">
        <f t="shared" si="8"/>
        <v>0.7103825136612022</v>
      </c>
      <c r="AE50" s="8">
        <f t="shared" si="8"/>
        <v>0.7103825136612022</v>
      </c>
      <c r="AF50" s="8">
        <f t="shared" si="8"/>
        <v>0.77868852459016391</v>
      </c>
      <c r="AG50" s="8">
        <f t="shared" si="8"/>
        <v>0.77868852459016391</v>
      </c>
      <c r="AH50" s="8">
        <f t="shared" si="8"/>
        <v>0.77868852459016391</v>
      </c>
      <c r="AI50" s="8">
        <f t="shared" si="8"/>
        <v>0.83879781420765032</v>
      </c>
      <c r="AJ50" s="8">
        <f t="shared" si="8"/>
        <v>0.83879781420765032</v>
      </c>
      <c r="AK50" s="8">
        <f t="shared" si="8"/>
        <v>0.83879781420765032</v>
      </c>
      <c r="AL50" s="8">
        <f t="shared" si="8"/>
        <v>0.91530054644808745</v>
      </c>
      <c r="AM50" s="8">
        <f t="shared" si="8"/>
        <v>0.91530054644808745</v>
      </c>
      <c r="AN50" s="8">
        <f t="shared" si="8"/>
        <v>0.91530054644808745</v>
      </c>
      <c r="AO50" s="8">
        <f t="shared" si="8"/>
        <v>0.95628415300546443</v>
      </c>
      <c r="AP50" s="8">
        <f t="shared" si="8"/>
        <v>0.95628415300546443</v>
      </c>
      <c r="AQ50" s="8">
        <f t="shared" si="8"/>
        <v>0.95628415300546443</v>
      </c>
      <c r="AR50" s="8">
        <f t="shared" si="8"/>
        <v>0.97540983606557374</v>
      </c>
      <c r="AS50" s="8">
        <f t="shared" si="8"/>
        <v>0.97540983606557374</v>
      </c>
      <c r="AT50" s="8">
        <f t="shared" si="8"/>
        <v>0.97540983606557374</v>
      </c>
      <c r="AU50" s="8">
        <f t="shared" si="8"/>
        <v>0.97540983606557374</v>
      </c>
      <c r="AV50" s="8">
        <f t="shared" si="8"/>
        <v>0.97814207650273222</v>
      </c>
      <c r="AW50" s="8">
        <f t="shared" si="8"/>
        <v>0.97814207650273222</v>
      </c>
      <c r="AX50" s="8">
        <f t="shared" si="8"/>
        <v>0.97814207650273222</v>
      </c>
      <c r="AY50" s="8">
        <f t="shared" si="8"/>
        <v>0.97814207650273222</v>
      </c>
      <c r="AZ50" s="8">
        <f t="shared" si="8"/>
        <v>0.97814207650273222</v>
      </c>
      <c r="BA50" s="8">
        <f t="shared" si="8"/>
        <v>0.98360655737704916</v>
      </c>
      <c r="BB50" s="8">
        <f t="shared" si="8"/>
        <v>0.98360655737704916</v>
      </c>
      <c r="BC50" s="8">
        <f t="shared" si="8"/>
        <v>0.98360655737704916</v>
      </c>
      <c r="BD50" s="8">
        <f t="shared" si="8"/>
        <v>0.99453551912568305</v>
      </c>
      <c r="BE50" s="8">
        <f t="shared" si="8"/>
        <v>0.99726775956284153</v>
      </c>
      <c r="BF50" s="8">
        <f t="shared" si="8"/>
        <v>1</v>
      </c>
      <c r="BG50" s="8">
        <f t="shared" si="8"/>
        <v>1</v>
      </c>
      <c r="BH50" s="8">
        <f t="shared" si="8"/>
        <v>1</v>
      </c>
      <c r="BI50" s="8">
        <f t="shared" si="8"/>
        <v>1</v>
      </c>
    </row>
    <row r="51" spans="1:62" x14ac:dyDescent="0.25">
      <c r="A51" s="2"/>
      <c r="B51" s="2"/>
      <c r="D51" s="2"/>
      <c r="E51" s="2"/>
      <c r="F51" s="2"/>
    </row>
  </sheetData>
  <conditionalFormatting sqref="D3:D20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:P45 Q26:BI43"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BI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:Z21 AQ21:AT21 D21:W2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:Z22 AQ21:CC22 D21:W22 BJ3:CC2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B7BE-9D68-4785-A22F-F9F0FCF2E464}">
  <sheetPr codeName="Sheet7"/>
  <dimension ref="A1"/>
  <sheetViews>
    <sheetView zoomScaleNormal="100" workbookViewId="0"/>
  </sheetViews>
  <sheetFormatPr defaultRowHeight="15" x14ac:dyDescent="0.25"/>
  <cols>
    <col min="14" max="19" width="9.140625" customWidth="1"/>
  </cols>
  <sheetData/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0BA90-D3A2-49D4-8D88-00F69E6103FE}">
  <dimension ref="A1:J51"/>
  <sheetViews>
    <sheetView workbookViewId="0"/>
  </sheetViews>
  <sheetFormatPr defaultRowHeight="15" x14ac:dyDescent="0.25"/>
  <sheetData>
    <row r="1" spans="1:10" x14ac:dyDescent="0.25">
      <c r="A1" s="2" t="s">
        <v>1</v>
      </c>
      <c r="B1" s="2" t="s">
        <v>18</v>
      </c>
      <c r="C1" s="2" t="s">
        <v>15</v>
      </c>
      <c r="D1" s="2" t="s">
        <v>16</v>
      </c>
      <c r="E1" s="2" t="s">
        <v>17</v>
      </c>
      <c r="F1" s="2" t="s">
        <v>14</v>
      </c>
      <c r="G1" s="4" t="s">
        <v>5</v>
      </c>
      <c r="H1" s="4" t="s">
        <v>19</v>
      </c>
      <c r="I1" s="2" t="s">
        <v>36</v>
      </c>
      <c r="J1" s="2" t="s">
        <v>34</v>
      </c>
    </row>
    <row r="2" spans="1:10" x14ac:dyDescent="0.25">
      <c r="A2">
        <v>0.05</v>
      </c>
      <c r="B2">
        <f>[1]!INTERPOLATE('H121'!$E$47:$BJ$47, 'H121'!$E$49:$BJ$49, A2)</f>
        <v>4.1063830530783143</v>
      </c>
      <c r="C2">
        <f>[1]!INTERPOLATE('H401'!$E$47:$BH$47, 'H401'!$E$49:$BH$49, A2)</f>
        <v>2.9315588651990843</v>
      </c>
      <c r="D2">
        <f>[1]!INTERPOLATE('H403'!$E$47:$CQ$47, 'H403'!$E$49:$CQ$49, A2)</f>
        <v>4.4017620508754609</v>
      </c>
      <c r="E2">
        <f>[1]!INTERPOLATE('H404'!$E$47:$CC$47, 'H404'!$E$49:$CC$49, A2)</f>
        <v>2.018673707536907</v>
      </c>
      <c r="F2">
        <f>[1]!INTERPOLATE('H602'!$E$47:$BI$47, 'H602'!$E$49:$BI$49, A2)</f>
        <v>2.2875000000000001</v>
      </c>
      <c r="G2">
        <f>AVERAGE(B2:F2)</f>
        <v>3.1491755353379531</v>
      </c>
      <c r="H2">
        <f>_xlfn.STDEV.S(B2:F2)</f>
        <v>1.0668991677882271</v>
      </c>
      <c r="I2">
        <f>COUNT(B2:F2)</f>
        <v>5</v>
      </c>
      <c r="J2">
        <f>H2*SQRT(1+1/I2)</f>
        <v>1.168729481562202</v>
      </c>
    </row>
    <row r="3" spans="1:10" x14ac:dyDescent="0.25">
      <c r="A3">
        <v>0.1</v>
      </c>
      <c r="B3">
        <f>[1]!INTERPOLATE('H121'!$E$47:$BJ$47, 'H121'!$E$49:$BJ$49, A3)</f>
        <v>4.1063830530783143</v>
      </c>
      <c r="C3">
        <f>[1]!INTERPOLATE('H401'!$E$47:$BH$47, 'H401'!$E$49:$BH$49, A3)</f>
        <v>2.92174628087515</v>
      </c>
      <c r="D3">
        <f>[1]!INTERPOLATE('H403'!$E$47:$CQ$47, 'H403'!$E$49:$CQ$49, A3)</f>
        <v>2.1823510955327632</v>
      </c>
      <c r="E3">
        <f>[1]!INTERPOLATE('H404'!$E$47:$CC$47, 'H404'!$E$49:$CC$49, A3)</f>
        <v>1.8203316793859057</v>
      </c>
      <c r="F3">
        <f>[1]!INTERPOLATE('H602'!$E$47:$BI$47, 'H602'!$E$49:$BI$49, A3)</f>
        <v>2.2665644923097221</v>
      </c>
      <c r="G3">
        <f t="shared" ref="G3:G25" si="0">AVERAGE(B3:F3)</f>
        <v>2.6594753202363708</v>
      </c>
      <c r="H3">
        <f t="shared" ref="H3:H25" si="1">_xlfn.STDEV.S(B3:F3)</f>
        <v>0.90118207630769676</v>
      </c>
      <c r="I3">
        <f t="shared" ref="I3:I25" si="2">COUNT(B3:F3)</f>
        <v>5</v>
      </c>
      <c r="J3">
        <f t="shared" ref="J3:J25" si="3">H3*SQRT(1+1/I3)</f>
        <v>0.98719550322613481</v>
      </c>
    </row>
    <row r="4" spans="1:10" x14ac:dyDescent="0.25">
      <c r="A4">
        <v>0.15</v>
      </c>
      <c r="B4">
        <f>[1]!INTERPOLATE('H121'!$E$47:$BJ$47, 'H121'!$E$49:$BJ$49, A4)</f>
        <v>1.7754677975025699</v>
      </c>
      <c r="C4">
        <f>[1]!INTERPOLATE('H401'!$E$47:$BH$47, 'H401'!$E$49:$BH$49, A4)</f>
        <v>2.9119336965512157</v>
      </c>
      <c r="D4">
        <f>[1]!INTERPOLATE('H403'!$E$47:$CQ$47, 'H403'!$E$49:$CQ$49, A4)</f>
        <v>2.1751463735757381</v>
      </c>
      <c r="E4">
        <f>[1]!INTERPOLATE('H404'!$E$47:$CC$47, 'H404'!$E$49:$CC$49, A4)</f>
        <v>1.6334900795987046</v>
      </c>
      <c r="F4">
        <f>[1]!INTERPOLATE('H602'!$E$47:$BI$47, 'H602'!$E$49:$BI$49, A4)</f>
        <v>2.1723643632167047</v>
      </c>
      <c r="G4">
        <f>AVERAGE(B4:F4)</f>
        <v>2.1336804620889867</v>
      </c>
      <c r="H4">
        <f>_xlfn.STDEV.S(B4:F4)</f>
        <v>0.49684018929095525</v>
      </c>
      <c r="I4">
        <f t="shared" si="2"/>
        <v>5</v>
      </c>
      <c r="J4">
        <f t="shared" si="3"/>
        <v>0.54426115829958566</v>
      </c>
    </row>
    <row r="5" spans="1:10" x14ac:dyDescent="0.25">
      <c r="A5">
        <v>0.2</v>
      </c>
      <c r="B5">
        <f>[1]!INTERPOLATE('H121'!$E$47:$BJ$47, 'H121'!$E$49:$BJ$49, A5)</f>
        <v>1.7545454622623964</v>
      </c>
      <c r="C5">
        <f>[1]!INTERPOLATE('H401'!$E$47:$BH$47, 'H401'!$E$49:$BH$49, A5)</f>
        <v>1.7252701638209711</v>
      </c>
      <c r="D5">
        <f>[1]!INTERPOLATE('H403'!$E$47:$CQ$47, 'H403'!$E$49:$CQ$49, A5)</f>
        <v>2.1679416516187127</v>
      </c>
      <c r="E5">
        <f>[1]!INTERPOLATE('H404'!$E$47:$CC$47, 'H404'!$E$49:$CC$49, A5)</f>
        <v>1.5679611662396078</v>
      </c>
      <c r="F5">
        <f>[1]!INTERPOLATE('H602'!$E$47:$BI$47, 'H602'!$E$49:$BI$49, A5)</f>
        <v>2.0781642341236877</v>
      </c>
      <c r="G5">
        <f t="shared" si="0"/>
        <v>1.8587765356130752</v>
      </c>
      <c r="H5">
        <f t="shared" si="1"/>
        <v>0.25346384270607047</v>
      </c>
      <c r="I5">
        <f t="shared" si="2"/>
        <v>5</v>
      </c>
      <c r="J5">
        <f t="shared" si="3"/>
        <v>0.27765572832411212</v>
      </c>
    </row>
    <row r="6" spans="1:10" x14ac:dyDescent="0.25">
      <c r="A6">
        <v>0.25</v>
      </c>
      <c r="B6">
        <f>[1]!INTERPOLATE('H121'!$E$47:$BJ$47, 'H121'!$E$49:$BJ$49, A6)</f>
        <v>1.7545454622623962</v>
      </c>
      <c r="C6">
        <f>[1]!INTERPOLATE('H401'!$E$47:$BH$47, 'H401'!$E$49:$BH$49, A6)</f>
        <v>1.7170981032139265</v>
      </c>
      <c r="D6">
        <f>[1]!INTERPOLATE('H403'!$E$47:$CQ$47, 'H403'!$E$49:$CQ$49, A6)</f>
        <v>2.1607369296616881</v>
      </c>
      <c r="E6">
        <f>[1]!INTERPOLATE('H404'!$E$47:$CC$47, 'H404'!$E$49:$CC$49, A6)</f>
        <v>1.5679611662396078</v>
      </c>
      <c r="F6">
        <f>[1]!INTERPOLATE('H602'!$E$47:$BI$47, 'H602'!$E$49:$BI$49, A6)</f>
        <v>1.9839641050306702</v>
      </c>
      <c r="G6">
        <f t="shared" si="0"/>
        <v>1.8368611532816579</v>
      </c>
      <c r="H6">
        <f t="shared" si="1"/>
        <v>0.23450003257982407</v>
      </c>
      <c r="I6">
        <f t="shared" si="2"/>
        <v>5</v>
      </c>
      <c r="J6">
        <f t="shared" si="3"/>
        <v>0.25688191515933201</v>
      </c>
    </row>
    <row r="7" spans="1:10" x14ac:dyDescent="0.25">
      <c r="A7">
        <v>0.3</v>
      </c>
      <c r="B7">
        <f>[1]!INTERPOLATE('H121'!$E$47:$BJ$47, 'H121'!$E$49:$BJ$49, A7)</f>
        <v>1.7545454622623964</v>
      </c>
      <c r="C7">
        <f>[1]!INTERPOLATE('H401'!$E$47:$BH$47, 'H401'!$E$49:$BH$49, A7)</f>
        <v>1.7089260426068822</v>
      </c>
      <c r="D7">
        <f>[1]!INTERPOLATE('H403'!$E$47:$CQ$47, 'H403'!$E$49:$CQ$49, A7)</f>
        <v>2.153532207704663</v>
      </c>
      <c r="E7">
        <f>[1]!INTERPOLATE('H404'!$E$47:$CC$47, 'H404'!$E$49:$CC$49, A7)</f>
        <v>1.5679611662396078</v>
      </c>
      <c r="F7">
        <f>[1]!INTERPOLATE('H602'!$E$47:$BI$47, 'H602'!$E$49:$BI$49, A7)</f>
        <v>1.8936776382770453</v>
      </c>
      <c r="G7">
        <f t="shared" si="0"/>
        <v>1.815728503418119</v>
      </c>
      <c r="H7">
        <f t="shared" si="1"/>
        <v>0.2217691332150917</v>
      </c>
      <c r="I7">
        <f t="shared" si="2"/>
        <v>5</v>
      </c>
      <c r="J7">
        <f t="shared" si="3"/>
        <v>0.24293591364054781</v>
      </c>
    </row>
    <row r="8" spans="1:10" x14ac:dyDescent="0.25">
      <c r="A8">
        <v>0.35</v>
      </c>
      <c r="B8">
        <f>[1]!INTERPOLATE('H121'!$E$47:$BJ$47, 'H121'!$E$49:$BJ$49, A8)</f>
        <v>1.7545454622623962</v>
      </c>
      <c r="C8">
        <f>[1]!INTERPOLATE('H401'!$E$47:$BH$47, 'H401'!$E$49:$BH$49, A8)</f>
        <v>1.7007539819998376</v>
      </c>
      <c r="D8">
        <f>[1]!INTERPOLATE('H403'!$E$47:$CQ$47, 'H403'!$E$49:$CQ$49, A8)</f>
        <v>2.146327485747638</v>
      </c>
      <c r="E8">
        <f>[1]!INTERPOLATE('H404'!$E$47:$CC$47, 'H404'!$E$49:$CC$49, A8)</f>
        <v>1.5679611662396078</v>
      </c>
      <c r="F8">
        <f>[1]!INTERPOLATE('H602'!$E$47:$BI$47, 'H602'!$E$49:$BI$49, A8)</f>
        <v>1.8865979381443299</v>
      </c>
      <c r="G8">
        <f t="shared" si="0"/>
        <v>1.8112372068787619</v>
      </c>
      <c r="H8">
        <f t="shared" si="1"/>
        <v>0.2194131169994516</v>
      </c>
      <c r="I8">
        <f t="shared" si="2"/>
        <v>5</v>
      </c>
      <c r="J8">
        <f t="shared" si="3"/>
        <v>0.24035502718623972</v>
      </c>
    </row>
    <row r="9" spans="1:10" x14ac:dyDescent="0.25">
      <c r="A9">
        <v>0.4</v>
      </c>
      <c r="B9">
        <f>[1]!INTERPOLATE('H121'!$E$47:$BJ$47, 'H121'!$E$49:$BJ$49, A9)</f>
        <v>1.7545454622623962</v>
      </c>
      <c r="C9">
        <f>[1]!INTERPOLATE('H401'!$E$47:$BH$47, 'H401'!$E$49:$BH$49, A9)</f>
        <v>1.6925819213927933</v>
      </c>
      <c r="D9">
        <f>[1]!INTERPOLATE('H403'!$E$47:$CQ$47, 'H403'!$E$49:$CQ$49, A9)</f>
        <v>2.1391227637906129</v>
      </c>
      <c r="E9">
        <f>[1]!INTERPOLATE('H404'!$E$47:$CC$47, 'H404'!$E$49:$CC$49, A9)</f>
        <v>1.5679611662396076</v>
      </c>
      <c r="F9">
        <f>[1]!INTERPOLATE('H602'!$E$47:$BI$47, 'H602'!$E$49:$BI$49, A9)</f>
        <v>1.8865979381443299</v>
      </c>
      <c r="G9">
        <f t="shared" si="0"/>
        <v>1.808161850365948</v>
      </c>
      <c r="H9">
        <f t="shared" si="1"/>
        <v>0.2177252579458438</v>
      </c>
      <c r="I9">
        <f t="shared" si="2"/>
        <v>5</v>
      </c>
      <c r="J9">
        <f t="shared" si="3"/>
        <v>0.23850607023113909</v>
      </c>
    </row>
    <row r="10" spans="1:10" x14ac:dyDescent="0.25">
      <c r="A10">
        <v>0.45</v>
      </c>
      <c r="B10">
        <f>[1]!INTERPOLATE('H121'!$E$47:$BJ$47, 'H121'!$E$49:$BJ$49, A10)</f>
        <v>1.6932354480492375</v>
      </c>
      <c r="C10">
        <f>[1]!INTERPOLATE('H401'!$E$47:$BH$47, 'H401'!$E$49:$BH$49, A10)</f>
        <v>1.6844098607857489</v>
      </c>
      <c r="D10">
        <f>[1]!INTERPOLATE('H403'!$E$47:$CQ$47, 'H403'!$E$49:$CQ$49, A10)</f>
        <v>2.1319180418335879</v>
      </c>
      <c r="E10">
        <f>[1]!INTERPOLATE('H404'!$E$47:$CC$47, 'H404'!$E$49:$CC$49, A10)</f>
        <v>1.5679611662396078</v>
      </c>
      <c r="F10">
        <f>[1]!INTERPOLATE('H602'!$E$47:$BI$47, 'H602'!$E$49:$BI$49, A10)</f>
        <v>1.8865979381443299</v>
      </c>
      <c r="G10">
        <f t="shared" si="0"/>
        <v>1.7928244910105025</v>
      </c>
      <c r="H10">
        <f t="shared" si="1"/>
        <v>0.22136684482375499</v>
      </c>
      <c r="I10">
        <f t="shared" si="2"/>
        <v>5</v>
      </c>
      <c r="J10">
        <f t="shared" si="3"/>
        <v>0.24249522878743263</v>
      </c>
    </row>
    <row r="11" spans="1:10" x14ac:dyDescent="0.25">
      <c r="A11">
        <v>0.5</v>
      </c>
      <c r="B11">
        <f>[1]!INTERPOLATE('H121'!$E$47:$BJ$47, 'H121'!$E$49:$BJ$49, A11)</f>
        <v>1.5474732673951543</v>
      </c>
      <c r="C11">
        <f>[1]!INTERPOLATE('H401'!$E$47:$BH$47, 'H401'!$E$49:$BH$49, A11)</f>
        <v>1.6762378001787042</v>
      </c>
      <c r="D11">
        <f>[1]!INTERPOLATE('H403'!$E$47:$CQ$47, 'H403'!$E$49:$CQ$49, A11)</f>
        <v>2.1247133198765633</v>
      </c>
      <c r="E11">
        <f>[1]!INTERPOLATE('H404'!$E$47:$CC$47, 'H404'!$E$49:$CC$49, A11)</f>
        <v>1.5679611662396078</v>
      </c>
      <c r="F11">
        <f>[1]!INTERPOLATE('H602'!$E$47:$BI$47, 'H602'!$E$49:$BI$49, A11)</f>
        <v>1.8865979381443299</v>
      </c>
      <c r="G11">
        <f t="shared" si="0"/>
        <v>1.7605966983668719</v>
      </c>
      <c r="H11">
        <f t="shared" si="1"/>
        <v>0.24397935120401176</v>
      </c>
      <c r="I11">
        <f t="shared" si="2"/>
        <v>5</v>
      </c>
      <c r="J11">
        <f t="shared" si="3"/>
        <v>0.26726598843982491</v>
      </c>
    </row>
    <row r="12" spans="1:10" x14ac:dyDescent="0.25">
      <c r="A12">
        <v>0.55000000000000004</v>
      </c>
      <c r="B12">
        <f>[1]!INTERPOLATE('H121'!$E$47:$BJ$47, 'H121'!$E$49:$BJ$49, A12)</f>
        <v>1.434944241556225</v>
      </c>
      <c r="C12">
        <f>[1]!INTERPOLATE('H401'!$E$47:$BH$47, 'H401'!$E$49:$BH$49, A12)</f>
        <v>1.6680657395716598</v>
      </c>
      <c r="D12">
        <f>[1]!INTERPOLATE('H403'!$E$47:$CQ$47, 'H403'!$E$49:$CQ$49, A12)</f>
        <v>2.1175085979195383</v>
      </c>
      <c r="E12">
        <f>[1]!INTERPOLATE('H404'!$E$47:$CC$47, 'H404'!$E$49:$CC$49, A12)</f>
        <v>1.5679611662396078</v>
      </c>
      <c r="F12">
        <f>[1]!INTERPOLATE('H602'!$E$47:$BI$47, 'H602'!$E$49:$BI$49, A12)</f>
        <v>1.8865979381443299</v>
      </c>
      <c r="G12">
        <f t="shared" si="0"/>
        <v>1.7350155366862723</v>
      </c>
      <c r="H12">
        <f t="shared" si="1"/>
        <v>0.27005110002711835</v>
      </c>
      <c r="I12">
        <f t="shared" si="2"/>
        <v>5</v>
      </c>
      <c r="J12">
        <f t="shared" si="3"/>
        <v>0.2958261583278734</v>
      </c>
    </row>
    <row r="13" spans="1:10" x14ac:dyDescent="0.25">
      <c r="A13">
        <v>0.6</v>
      </c>
      <c r="B13">
        <f>[1]!INTERPOLATE('H121'!$E$47:$BJ$47, 'H121'!$E$49:$BJ$49, A13)</f>
        <v>1.4033140658563314</v>
      </c>
      <c r="C13">
        <f>[1]!INTERPOLATE('H401'!$E$47:$BH$47, 'H401'!$E$49:$BH$49, A13)</f>
        <v>1.6598936789646153</v>
      </c>
      <c r="D13">
        <f>[1]!INTERPOLATE('H403'!$E$47:$CQ$47, 'H403'!$E$49:$CQ$49, A13)</f>
        <v>2.1103038759625132</v>
      </c>
      <c r="E13">
        <f>[1]!INTERPOLATE('H404'!$E$47:$CC$47, 'H404'!$E$49:$CC$49, A13)</f>
        <v>1.5679611662396078</v>
      </c>
      <c r="F13">
        <f>[1]!INTERPOLATE('H602'!$E$47:$BI$47, 'H602'!$E$49:$BI$49, A13)</f>
        <v>1.8828979874218037</v>
      </c>
      <c r="G13">
        <f t="shared" si="0"/>
        <v>1.7248741548889739</v>
      </c>
      <c r="H13">
        <f t="shared" si="1"/>
        <v>0.27648356219317471</v>
      </c>
      <c r="I13">
        <f t="shared" si="2"/>
        <v>5</v>
      </c>
      <c r="J13">
        <f t="shared" si="3"/>
        <v>0.30287256758516862</v>
      </c>
    </row>
    <row r="14" spans="1:10" x14ac:dyDescent="0.25">
      <c r="A14">
        <v>0.65</v>
      </c>
      <c r="B14">
        <f>[1]!INTERPOLATE('H121'!$E$47:$BJ$47, 'H121'!$E$49:$BJ$49, A14)</f>
        <v>1.3334671503216209</v>
      </c>
      <c r="C14">
        <f>[1]!INTERPOLATE('H401'!$E$47:$BH$47, 'H401'!$E$49:$BH$49, A14)</f>
        <v>1.5306879742127077</v>
      </c>
      <c r="D14">
        <f>[1]!INTERPOLATE('H403'!$E$47:$CQ$47, 'H403'!$E$49:$CQ$49, A14)</f>
        <v>2.1030991540054882</v>
      </c>
      <c r="E14">
        <f>[1]!INTERPOLATE('H404'!$E$47:$CC$47, 'H404'!$E$49:$CC$49, A14)</f>
        <v>1.5679611662396078</v>
      </c>
      <c r="F14">
        <f>[1]!INTERPOLATE('H602'!$E$47:$BI$47, 'H602'!$E$49:$BI$49, A14)</f>
        <v>1.8597718500224294</v>
      </c>
      <c r="G14">
        <f t="shared" si="0"/>
        <v>1.6789974589603709</v>
      </c>
      <c r="H14">
        <f t="shared" si="1"/>
        <v>0.30259609381123731</v>
      </c>
      <c r="I14">
        <f t="shared" si="2"/>
        <v>5</v>
      </c>
      <c r="J14">
        <f t="shared" si="3"/>
        <v>0.3314774127867281</v>
      </c>
    </row>
    <row r="15" spans="1:10" x14ac:dyDescent="0.25">
      <c r="A15">
        <v>0.7</v>
      </c>
      <c r="B15">
        <f>[1]!INTERPOLATE('H121'!$E$47:$BJ$47, 'H121'!$E$49:$BJ$49, A15)</f>
        <v>1.2192115415111049</v>
      </c>
      <c r="C15">
        <f>[1]!INTERPOLATE('H401'!$E$47:$BH$47, 'H401'!$E$49:$BH$49, A15)</f>
        <v>1.5049505822898199</v>
      </c>
      <c r="D15">
        <f>[1]!INTERPOLATE('H403'!$E$47:$CQ$47, 'H403'!$E$49:$CQ$49, A15)</f>
        <v>2.0958944320484632</v>
      </c>
      <c r="E15">
        <f>[1]!INTERPOLATE('H404'!$E$47:$CC$47, 'H404'!$E$49:$CC$49, A15)</f>
        <v>1.5679611662396078</v>
      </c>
      <c r="F15">
        <f>[1]!INTERPOLATE('H602'!$E$47:$BI$47, 'H602'!$E$49:$BI$49, A15)</f>
        <v>1.8366457126230546</v>
      </c>
      <c r="G15">
        <f t="shared" si="0"/>
        <v>1.6449326869424101</v>
      </c>
      <c r="H15">
        <f t="shared" si="1"/>
        <v>0.33424484964406542</v>
      </c>
      <c r="I15">
        <f t="shared" si="2"/>
        <v>5</v>
      </c>
      <c r="J15">
        <f t="shared" si="3"/>
        <v>0.36614688775995441</v>
      </c>
    </row>
    <row r="16" spans="1:10" x14ac:dyDescent="0.25">
      <c r="A16">
        <v>0.75</v>
      </c>
      <c r="B16">
        <f>[1]!INTERPOLATE('H121'!$E$47:$BJ$47, 'H121'!$E$49:$BJ$49, A16)</f>
        <v>1.1718431481317106</v>
      </c>
      <c r="C16">
        <f>[1]!INTERPOLATE('H401'!$E$47:$BH$47, 'H401'!$E$49:$BH$49, A16)</f>
        <v>1.4792131903669321</v>
      </c>
      <c r="D16">
        <f>[1]!INTERPOLATE('H403'!$E$47:$CQ$47, 'H403'!$E$49:$CQ$49, A16)</f>
        <v>1.9975021143762621</v>
      </c>
      <c r="E16">
        <f>[1]!INTERPOLATE('H404'!$E$47:$CC$47, 'H404'!$E$49:$CC$49, A16)</f>
        <v>1.5679611662396078</v>
      </c>
      <c r="F16">
        <f>[1]!INTERPOLATE('H602'!$E$47:$BI$47, 'H602'!$E$49:$BI$49, A16)</f>
        <v>1.8135195752236801</v>
      </c>
      <c r="G16">
        <f t="shared" si="0"/>
        <v>1.6060078388676384</v>
      </c>
      <c r="H16">
        <f t="shared" si="1"/>
        <v>0.31715623096110979</v>
      </c>
      <c r="I16">
        <f t="shared" si="2"/>
        <v>5</v>
      </c>
      <c r="J16">
        <f t="shared" si="3"/>
        <v>0.34742724390143637</v>
      </c>
    </row>
    <row r="17" spans="1:10" x14ac:dyDescent="0.25">
      <c r="A17">
        <v>0.8</v>
      </c>
      <c r="B17">
        <f>[1]!INTERPOLATE('H121'!$E$47:$BJ$47, 'H121'!$E$49:$BJ$49, A17)</f>
        <v>1</v>
      </c>
      <c r="C17">
        <f>[1]!INTERPOLATE('H401'!$E$47:$BH$47, 'H401'!$E$49:$BH$49, A17)</f>
        <v>1.4534757984440443</v>
      </c>
      <c r="D17">
        <f>[1]!INTERPOLATE('H403'!$E$47:$CQ$47, 'H403'!$E$49:$CQ$49, A17)</f>
        <v>1.9930210795942012</v>
      </c>
      <c r="E17">
        <f>[1]!INTERPOLATE('H404'!$E$47:$CC$47, 'H404'!$E$49:$CC$49, A17)</f>
        <v>1.5679611662396078</v>
      </c>
      <c r="F17">
        <f>[1]!INTERPOLATE('H602'!$E$47:$BI$47, 'H602'!$E$49:$BI$49, A17)</f>
        <v>1.7903934378243056</v>
      </c>
      <c r="G17">
        <f t="shared" si="0"/>
        <v>1.5609702964204319</v>
      </c>
      <c r="H17">
        <f t="shared" si="1"/>
        <v>0.37603007521830645</v>
      </c>
      <c r="I17">
        <f t="shared" si="2"/>
        <v>5</v>
      </c>
      <c r="J17">
        <f t="shared" si="3"/>
        <v>0.41192030899486154</v>
      </c>
    </row>
    <row r="18" spans="1:10" x14ac:dyDescent="0.25">
      <c r="A18">
        <v>0.85</v>
      </c>
      <c r="B18">
        <f>[1]!INTERPOLATE('H121'!$E$47:$BJ$47, 'H121'!$E$49:$BJ$49, A18)</f>
        <v>1</v>
      </c>
      <c r="C18">
        <f>[1]!INTERPOLATE('H401'!$E$47:$BH$47, 'H401'!$E$49:$BH$49, A18)</f>
        <v>1.4277384065211567</v>
      </c>
      <c r="D18">
        <f>[1]!INTERPOLATE('H403'!$E$47:$CQ$47, 'H403'!$E$49:$CQ$49, A18)</f>
        <v>1.9230212303524634</v>
      </c>
      <c r="E18">
        <f>[1]!INTERPOLATE('H404'!$E$47:$CC$47, 'H404'!$E$49:$CC$49, A18)</f>
        <v>1.5679611662396078</v>
      </c>
      <c r="F18">
        <f>[1]!INTERPOLATE('H602'!$E$47:$BI$47, 'H602'!$E$49:$BI$49, A18)</f>
        <v>1.7672673004249309</v>
      </c>
      <c r="G18">
        <f t="shared" si="0"/>
        <v>1.5371976207076317</v>
      </c>
      <c r="H18">
        <f t="shared" si="1"/>
        <v>0.35471852019684136</v>
      </c>
      <c r="I18">
        <f t="shared" si="2"/>
        <v>5</v>
      </c>
      <c r="J18">
        <f t="shared" si="3"/>
        <v>0.3885746701533237</v>
      </c>
    </row>
    <row r="19" spans="1:10" x14ac:dyDescent="0.25">
      <c r="A19">
        <v>0.9</v>
      </c>
      <c r="B19">
        <f>[1]!INTERPOLATE('H121'!$E$47:$BJ$47, 'H121'!$E$49:$BJ$49, A19)</f>
        <v>1</v>
      </c>
      <c r="C19">
        <f>[1]!INTERPOLATE('H401'!$E$47:$BH$47, 'H401'!$E$49:$BH$49, A19)</f>
        <v>1.4020010145982689</v>
      </c>
      <c r="D19">
        <f>[1]!INTERPOLATE('H403'!$E$47:$CQ$47, 'H403'!$E$49:$CQ$49, A19)</f>
        <v>1.9163239586983387</v>
      </c>
      <c r="E19">
        <f>[1]!INTERPOLATE('H404'!$E$47:$CC$47, 'H404'!$E$49:$CC$49, A19)</f>
        <v>1.5679611662396078</v>
      </c>
      <c r="F19">
        <f>[1]!INTERPOLATE('H602'!$E$47:$BI$47, 'H602'!$E$49:$BI$49, A19)</f>
        <v>1.7441411630255561</v>
      </c>
      <c r="G19">
        <f t="shared" si="0"/>
        <v>1.5260854605123544</v>
      </c>
      <c r="H19">
        <f t="shared" si="1"/>
        <v>0.35133702163145103</v>
      </c>
      <c r="I19">
        <f t="shared" si="2"/>
        <v>5</v>
      </c>
      <c r="J19">
        <f t="shared" si="3"/>
        <v>0.38487042406845245</v>
      </c>
    </row>
    <row r="20" spans="1:10" x14ac:dyDescent="0.25">
      <c r="A20">
        <v>0.95</v>
      </c>
      <c r="B20">
        <f>[1]!INTERPOLATE('H121'!$E$47:$BJ$47, 'H121'!$E$49:$BJ$49, A20)</f>
        <v>1</v>
      </c>
      <c r="C20">
        <f>[1]!INTERPOLATE('H401'!$E$47:$BH$47, 'H401'!$E$49:$BH$49, A20)</f>
        <v>1.376263622675381</v>
      </c>
      <c r="D20">
        <f>[1]!INTERPOLATE('H403'!$E$47:$CQ$47, 'H403'!$E$49:$CQ$49, A20)</f>
        <v>1.8694600692044416</v>
      </c>
      <c r="E20">
        <f>[1]!INTERPOLATE('H404'!$E$47:$CC$47, 'H404'!$E$49:$CC$49, A20)</f>
        <v>1.5679611662396078</v>
      </c>
      <c r="F20">
        <f>[1]!INTERPOLATE('H602'!$E$47:$BI$47, 'H602'!$E$49:$BI$49, A20)</f>
        <v>1.7264150943396226</v>
      </c>
      <c r="G20">
        <f t="shared" si="0"/>
        <v>1.5080199904918106</v>
      </c>
      <c r="H20">
        <f t="shared" si="1"/>
        <v>0.33814654649796344</v>
      </c>
      <c r="I20">
        <f t="shared" si="2"/>
        <v>5</v>
      </c>
      <c r="J20">
        <f t="shared" si="3"/>
        <v>0.37042098251880817</v>
      </c>
    </row>
    <row r="21" spans="1:10" x14ac:dyDescent="0.25">
      <c r="A21">
        <v>1</v>
      </c>
      <c r="B21">
        <f>[1]!INTERPOLATE('H121'!$E$47:$BJ$47, 'H121'!$E$49:$BJ$49, A21)</f>
        <v>1</v>
      </c>
      <c r="C21">
        <f>[1]!INTERPOLATE('H401'!$E$47:$BH$47, 'H401'!$E$49:$BH$49, A21)</f>
        <v>1.3684911271270894</v>
      </c>
      <c r="D21">
        <f>[1]!INTERPOLATE('H403'!$E$47:$CQ$47, 'H403'!$E$49:$CQ$49, A21)</f>
        <v>1.8261662387544275</v>
      </c>
      <c r="E21">
        <f>[1]!INTERPOLATE('H404'!$E$47:$CC$47, 'H404'!$E$49:$CC$49, A21)</f>
        <v>1.5679611662396078</v>
      </c>
      <c r="F21">
        <f>[1]!INTERPOLATE('H602'!$E$47:$BI$47, 'H602'!$E$49:$BI$49, A21)</f>
        <v>1.6424619359758241</v>
      </c>
      <c r="G21">
        <f t="shared" si="0"/>
        <v>1.4810160936193895</v>
      </c>
      <c r="H21">
        <f t="shared" si="1"/>
        <v>0.31495681400741565</v>
      </c>
      <c r="I21">
        <f t="shared" si="2"/>
        <v>5</v>
      </c>
      <c r="J21">
        <f t="shared" si="3"/>
        <v>0.34501790334364124</v>
      </c>
    </row>
    <row r="22" spans="1:10" x14ac:dyDescent="0.25">
      <c r="A22">
        <v>1.05</v>
      </c>
      <c r="B22">
        <f>[1]!INTERPOLATE('H121'!$E$47:$BJ$47, 'H121'!$E$49:$BJ$49, A22)</f>
        <v>1</v>
      </c>
      <c r="C22">
        <f>[1]!INTERPOLATE('H401'!$E$47:$BH$47, 'H401'!$E$49:$BH$49, A22)</f>
        <v>1.366127283703277</v>
      </c>
      <c r="D22">
        <f>[1]!INTERPOLATE('H403'!$E$47:$CQ$47, 'H403'!$E$49:$CQ$49, A22)</f>
        <v>1.7964601769911503</v>
      </c>
      <c r="E22">
        <f>[1]!INTERPOLATE('H404'!$E$47:$CC$47, 'H404'!$E$49:$CC$49, A22)</f>
        <v>1.5430970852840704</v>
      </c>
      <c r="F22">
        <f>[1]!INTERPOLATE('H602'!$E$47:$BI$47, 'H602'!$E$49:$BI$49, A22)</f>
        <v>1.5575698237727043</v>
      </c>
      <c r="G22">
        <f t="shared" si="0"/>
        <v>1.4526508739502404</v>
      </c>
      <c r="H22">
        <f t="shared" si="1"/>
        <v>0.29570783105588788</v>
      </c>
      <c r="I22">
        <f t="shared" si="2"/>
        <v>5</v>
      </c>
      <c r="J22">
        <f t="shared" si="3"/>
        <v>0.32393169900047297</v>
      </c>
    </row>
    <row r="23" spans="1:10" x14ac:dyDescent="0.25">
      <c r="A23">
        <v>1.1000000000000001</v>
      </c>
      <c r="B23">
        <f>[1]!INTERPOLATE('H121'!$E$47:$BJ$47, 'H121'!$E$49:$BJ$49, A23)</f>
        <v>1</v>
      </c>
      <c r="C23">
        <f>[1]!INTERPOLATE('H401'!$E$47:$BH$47, 'H401'!$E$49:$BH$49, A23)</f>
        <v>1.3637634402794645</v>
      </c>
      <c r="D23">
        <f>[1]!INTERPOLATE('H403'!$E$47:$CQ$47, 'H403'!$E$49:$CQ$49, A23)</f>
        <v>1.7964601769911506</v>
      </c>
      <c r="E23">
        <f>[1]!INTERPOLATE('H404'!$E$47:$CC$47, 'H404'!$E$49:$CC$49, A23)</f>
        <v>1.5164319259300403</v>
      </c>
      <c r="F23">
        <f>[1]!INTERPOLATE('H602'!$E$47:$BI$47, 'H602'!$E$49:$BI$49, A23)</f>
        <v>1.499575768733779</v>
      </c>
      <c r="G23">
        <f t="shared" si="0"/>
        <v>1.4352462623868869</v>
      </c>
      <c r="H23">
        <f t="shared" si="1"/>
        <v>0.28972141456652328</v>
      </c>
      <c r="I23">
        <f t="shared" si="2"/>
        <v>5</v>
      </c>
      <c r="J23">
        <f t="shared" si="3"/>
        <v>0.31737390830078122</v>
      </c>
    </row>
    <row r="24" spans="1:10" x14ac:dyDescent="0.25">
      <c r="A24">
        <v>1.1499999999999999</v>
      </c>
      <c r="B24">
        <f>[1]!INTERPOLATE('H121'!$E$47:$BJ$47, 'H121'!$E$49:$BJ$49, A24)</f>
        <v>1</v>
      </c>
      <c r="C24">
        <f>[1]!INTERPOLATE('H401'!$E$47:$BH$47, 'H401'!$E$49:$BH$49, A24)</f>
        <v>1.3593762426199145</v>
      </c>
      <c r="D24">
        <f>[1]!INTERPOLATE('H403'!$E$47:$CQ$47, 'H403'!$E$49:$CQ$49, A24)</f>
        <v>1.7823559634057335</v>
      </c>
      <c r="E24">
        <f>[1]!INTERPOLATE('H404'!$E$47:$CC$47, 'H404'!$E$49:$CC$49, A24)</f>
        <v>1.5164319259300405</v>
      </c>
      <c r="F24">
        <f>[1]!INTERPOLATE('H602'!$E$47:$BI$47, 'H602'!$E$49:$BI$49, A24)</f>
        <v>1.4415817136948541</v>
      </c>
      <c r="G24">
        <f t="shared" si="0"/>
        <v>1.4199491691301085</v>
      </c>
      <c r="H24">
        <f t="shared" si="1"/>
        <v>0.28334694191056536</v>
      </c>
      <c r="I24">
        <f t="shared" si="2"/>
        <v>5</v>
      </c>
      <c r="J24">
        <f t="shared" si="3"/>
        <v>0.31039102336904517</v>
      </c>
    </row>
    <row r="25" spans="1:10" x14ac:dyDescent="0.25">
      <c r="A25">
        <v>1.2</v>
      </c>
      <c r="B25">
        <f>[1]!INTERPOLATE('H121'!$E$47:$BJ$47, 'H121'!$E$49:$BJ$49, A25)</f>
        <v>1</v>
      </c>
      <c r="C25">
        <f>[1]!INTERPOLATE('H401'!$E$47:$BH$47, 'H401'!$E$49:$BH$49, A25)</f>
        <v>1.3537578483906696</v>
      </c>
      <c r="D25">
        <f>[1]!INTERPOLATE('H403'!$E$47:$CQ$47, 'H403'!$E$49:$CQ$49, A25)</f>
        <v>1.584181504285247</v>
      </c>
      <c r="E25">
        <f>[1]!INTERPOLATE('H404'!$E$47:$CC$47, 'H404'!$E$49:$CC$49, A25)</f>
        <v>1.5129455097130073</v>
      </c>
      <c r="F25">
        <f>[1]!INTERPOLATE('H602'!$E$47:$BI$47, 'H602'!$E$49:$BI$49, A25)</f>
        <v>1.3952329698554702</v>
      </c>
      <c r="G25">
        <f t="shared" si="0"/>
        <v>1.3692235664488788</v>
      </c>
      <c r="H25">
        <f t="shared" si="1"/>
        <v>0.22588970291733834</v>
      </c>
      <c r="I25">
        <f t="shared" si="2"/>
        <v>5</v>
      </c>
      <c r="J25">
        <f t="shared" si="3"/>
        <v>0.24744977159193346</v>
      </c>
    </row>
    <row r="26" spans="1:10" x14ac:dyDescent="0.25">
      <c r="A26">
        <v>1.25</v>
      </c>
      <c r="B26">
        <f>[1]!INTERPOLATE('H121'!$E$47:$BJ$47, 'H121'!$E$49:$BJ$49, A26)</f>
        <v>1</v>
      </c>
      <c r="C26">
        <f>[1]!INTERPOLATE('H401'!$E$47:$BH$47, 'H401'!$E$49:$BH$49, A26)</f>
        <v>1.3481394541614247</v>
      </c>
      <c r="D26">
        <f>[1]!INTERPOLATE('H403'!$E$47:$CQ$47, 'H403'!$E$49:$CQ$49, A26)</f>
        <v>1.5009337394392681</v>
      </c>
      <c r="E26">
        <f>[1]!INTERPOLATE('H404'!$E$47:$CC$47, 'H404'!$E$49:$CC$49, A26)</f>
        <v>1.4868593427318408</v>
      </c>
      <c r="F26">
        <f>[1]!INTERPOLATE('H602'!$E$47:$BI$47, 'H602'!$E$49:$BI$49, A26)</f>
        <v>1.3604847050271638</v>
      </c>
      <c r="G26">
        <f t="shared" ref="G26" si="4">AVERAGE(B26:F26)</f>
        <v>1.3392834482719393</v>
      </c>
      <c r="H26">
        <f t="shared" ref="H26" si="5">_xlfn.STDEV.S(B26:F26)</f>
        <v>0.20220697419954242</v>
      </c>
      <c r="I26">
        <f t="shared" ref="I26" si="6">COUNT(B26:F26)</f>
        <v>5</v>
      </c>
      <c r="J26">
        <f t="shared" ref="J26" si="7">H26*SQRT(1+1/I26)</f>
        <v>0.22150664210790902</v>
      </c>
    </row>
    <row r="27" spans="1:10" x14ac:dyDescent="0.25">
      <c r="A27">
        <v>1.3</v>
      </c>
      <c r="B27">
        <f>[1]!INTERPOLATE('H121'!$E$47:$BJ$47, 'H121'!$E$49:$BJ$49, A27)</f>
        <v>1</v>
      </c>
      <c r="C27">
        <f>[1]!INTERPOLATE('H401'!$E$47:$BH$47, 'H401'!$E$49:$BH$49, A27)</f>
        <v>1.3425210599321797</v>
      </c>
      <c r="D27">
        <f>[1]!INTERPOLATE('H403'!$E$47:$CQ$47, 'H403'!$E$49:$CQ$49, A27)</f>
        <v>1.4637343362477253</v>
      </c>
      <c r="E27">
        <f>[1]!INTERPOLATE('H404'!$E$47:$CC$47, 'H404'!$E$49:$CC$49, A27)</f>
        <v>1.4607731757506741</v>
      </c>
      <c r="F27">
        <f>[1]!INTERPOLATE('H602'!$E$47:$BI$47, 'H602'!$E$49:$BI$49, A27)</f>
        <v>1.3257364401988572</v>
      </c>
      <c r="G27">
        <f t="shared" ref="G27:G51" si="8">AVERAGE(B27:F27)</f>
        <v>1.3185530024258871</v>
      </c>
      <c r="H27">
        <f t="shared" ref="H27:H51" si="9">_xlfn.STDEV.S(B27:F27)</f>
        <v>0.18934510972311269</v>
      </c>
      <c r="I27">
        <f t="shared" ref="I27:I51" si="10">COUNT(B27:F27)</f>
        <v>5</v>
      </c>
      <c r="J27">
        <f t="shared" ref="J27:J51" si="11">H27*SQRT(1+1/I27)</f>
        <v>0.20741717549727914</v>
      </c>
    </row>
    <row r="28" spans="1:10" x14ac:dyDescent="0.25">
      <c r="A28">
        <v>1.35</v>
      </c>
      <c r="B28">
        <f>[1]!INTERPOLATE('H121'!$E$47:$BJ$47, 'H121'!$E$49:$BJ$49, A28)</f>
        <v>1</v>
      </c>
      <c r="C28">
        <f>[1]!INTERPOLATE('H401'!$E$47:$BH$47, 'H401'!$E$49:$BH$49, A28)</f>
        <v>1.3369026657029348</v>
      </c>
      <c r="D28">
        <f>[1]!INTERPOLATE('H403'!$E$47:$CQ$47, 'H403'!$E$49:$CQ$49, A28)</f>
        <v>1.4604316546762592</v>
      </c>
      <c r="E28">
        <f>[1]!INTERPOLATE('H404'!$E$47:$CC$47, 'H404'!$E$49:$CC$49, A28)</f>
        <v>1.4346870087695076</v>
      </c>
      <c r="F28">
        <f>[1]!INTERPOLATE('H602'!$E$47:$BI$47, 'H602'!$E$49:$BI$49, A28)</f>
        <v>1.2909881753705506</v>
      </c>
      <c r="G28">
        <f t="shared" si="8"/>
        <v>1.3046019009038505</v>
      </c>
      <c r="H28">
        <f t="shared" si="9"/>
        <v>0.18385866746833782</v>
      </c>
      <c r="I28">
        <f t="shared" si="10"/>
        <v>5</v>
      </c>
      <c r="J28">
        <f t="shared" si="11"/>
        <v>0.20140707913049974</v>
      </c>
    </row>
    <row r="29" spans="1:10" x14ac:dyDescent="0.25">
      <c r="A29">
        <v>1.4</v>
      </c>
      <c r="B29">
        <f>[1]!INTERPOLATE('H121'!$E$47:$BJ$47, 'H121'!$E$49:$BJ$49, A29)</f>
        <v>1</v>
      </c>
      <c r="C29">
        <f>[1]!INTERPOLATE('H401'!$E$47:$BH$47, 'H401'!$E$49:$BH$49, A29)</f>
        <v>1.3312842714736897</v>
      </c>
      <c r="D29">
        <f>[1]!INTERPOLATE('H403'!$E$47:$CQ$47, 'H403'!$E$49:$CQ$49, A29)</f>
        <v>1.460431654676259</v>
      </c>
      <c r="E29">
        <f>[1]!INTERPOLATE('H404'!$E$47:$CC$47, 'H404'!$E$49:$CC$49, A29)</f>
        <v>1.4104803501193341</v>
      </c>
      <c r="F29">
        <f>[1]!INTERPOLATE('H602'!$E$47:$BI$47, 'H602'!$E$49:$BI$49, A29)</f>
        <v>1.2609980323830547</v>
      </c>
      <c r="G29">
        <f t="shared" si="8"/>
        <v>1.2926388617304674</v>
      </c>
      <c r="H29">
        <f t="shared" si="9"/>
        <v>0.18039758238483383</v>
      </c>
      <c r="I29">
        <f t="shared" si="10"/>
        <v>5</v>
      </c>
      <c r="J29">
        <f t="shared" si="11"/>
        <v>0.19761565038314016</v>
      </c>
    </row>
    <row r="30" spans="1:10" x14ac:dyDescent="0.25">
      <c r="A30">
        <v>1.45</v>
      </c>
      <c r="B30">
        <f>[1]!INTERPOLATE('H121'!$E$47:$BJ$47, 'H121'!$E$49:$BJ$49, A30)</f>
        <v>1</v>
      </c>
      <c r="C30">
        <f>[1]!INTERPOLATE('H401'!$E$47:$BH$47, 'H401'!$E$49:$BH$49, A30)</f>
        <v>1.2901876029383126</v>
      </c>
      <c r="D30">
        <f>[1]!INTERPOLATE('H403'!$E$47:$CQ$47, 'H403'!$E$49:$CQ$49, A30)</f>
        <v>1.3872234453661352</v>
      </c>
      <c r="E30">
        <f>[1]!INTERPOLATE('H404'!$E$47:$CC$47, 'H404'!$E$49:$CC$49, A30)</f>
        <v>1.4104803501193341</v>
      </c>
      <c r="F30">
        <f>[1]!INTERPOLATE('H602'!$E$47:$BI$47, 'H602'!$E$49:$BI$49, A30)</f>
        <v>1.232160845063675</v>
      </c>
      <c r="G30">
        <f t="shared" si="8"/>
        <v>1.2640104486974912</v>
      </c>
      <c r="H30">
        <f t="shared" si="9"/>
        <v>0.16434417562528764</v>
      </c>
      <c r="I30">
        <f t="shared" si="10"/>
        <v>5</v>
      </c>
      <c r="J30">
        <f t="shared" si="11"/>
        <v>0.18003002436912144</v>
      </c>
    </row>
    <row r="31" spans="1:10" x14ac:dyDescent="0.25">
      <c r="A31">
        <v>1.5</v>
      </c>
      <c r="B31">
        <f>[1]!INTERPOLATE('H121'!$E$47:$BJ$47, 'H121'!$E$49:$BJ$49, A31)</f>
        <v>1</v>
      </c>
      <c r="C31">
        <f>[1]!INTERPOLATE('H401'!$E$47:$BH$47, 'H401'!$E$49:$BH$49, A31)</f>
        <v>1.2540934516643096</v>
      </c>
      <c r="D31">
        <f>[1]!INTERPOLATE('H403'!$E$47:$CQ$47, 'H403'!$E$49:$CQ$49, A31)</f>
        <v>1.3301398991191284</v>
      </c>
      <c r="E31">
        <f>[1]!INTERPOLATE('H404'!$E$47:$CC$47, 'H404'!$E$49:$CC$49, A31)</f>
        <v>1.4104803501193341</v>
      </c>
      <c r="F31">
        <f>[1]!INTERPOLATE('H602'!$E$47:$BI$47, 'H602'!$E$49:$BI$49, A31)</f>
        <v>1.2033236577442954</v>
      </c>
      <c r="G31">
        <f t="shared" si="8"/>
        <v>1.2396074717294137</v>
      </c>
      <c r="H31">
        <f t="shared" si="9"/>
        <v>0.1551867908834963</v>
      </c>
      <c r="I31">
        <f t="shared" si="10"/>
        <v>5</v>
      </c>
      <c r="J31">
        <f t="shared" si="11"/>
        <v>0.16999861198745597</v>
      </c>
    </row>
    <row r="32" spans="1:10" x14ac:dyDescent="0.25">
      <c r="A32">
        <v>1.55</v>
      </c>
      <c r="B32">
        <f>[1]!INTERPOLATE('H121'!$E$47:$BJ$47, 'H121'!$E$49:$BJ$49, A32)</f>
        <v>1</v>
      </c>
      <c r="C32">
        <f>[1]!INTERPOLATE('H401'!$E$47:$BH$47, 'H401'!$E$49:$BH$49, A32)</f>
        <v>1.1632902875449556</v>
      </c>
      <c r="D32">
        <f>[1]!INTERPOLATE('H403'!$E$47:$CQ$47, 'H403'!$E$49:$CQ$49, A32)</f>
        <v>1.3278611974807786</v>
      </c>
      <c r="E32">
        <f>[1]!INTERPOLATE('H404'!$E$47:$CC$47, 'H404'!$E$49:$CC$49, A32)</f>
        <v>1.4104803501193341</v>
      </c>
      <c r="F32">
        <f>[1]!INTERPOLATE('H602'!$E$47:$BI$47, 'H602'!$E$49:$BI$49, A32)</f>
        <v>1.1773148784991521</v>
      </c>
      <c r="G32">
        <f t="shared" si="8"/>
        <v>1.2157893427288442</v>
      </c>
      <c r="H32">
        <f t="shared" si="9"/>
        <v>0.15911172538076024</v>
      </c>
      <c r="I32">
        <f t="shared" si="10"/>
        <v>5</v>
      </c>
      <c r="J32">
        <f t="shared" si="11"/>
        <v>0.1742981623092193</v>
      </c>
    </row>
    <row r="33" spans="1:10" x14ac:dyDescent="0.25">
      <c r="A33">
        <v>1.6</v>
      </c>
      <c r="B33">
        <f>[1]!INTERPOLATE('H121'!$E$47:$BJ$47, 'H121'!$E$49:$BJ$49, A33)</f>
        <v>1</v>
      </c>
      <c r="C33">
        <f>[1]!INTERPOLATE('H401'!$E$47:$BH$47, 'H401'!$E$49:$BH$49, A33)</f>
        <v>1.1581671442574686</v>
      </c>
      <c r="D33">
        <f>[1]!INTERPOLATE('H403'!$E$47:$CQ$47, 'H403'!$E$49:$CQ$49, A33)</f>
        <v>1.3153471925370863</v>
      </c>
      <c r="E33">
        <f>[1]!INTERPOLATE('H404'!$E$47:$CC$47, 'H404'!$E$49:$CC$49, A33)</f>
        <v>1.3563674698709856</v>
      </c>
      <c r="F33">
        <f>[1]!INTERPOLATE('H602'!$E$47:$BI$47, 'H602'!$E$49:$BI$49, A33)</f>
        <v>1.1504563617900907</v>
      </c>
      <c r="G33">
        <f t="shared" si="8"/>
        <v>1.1960676336911262</v>
      </c>
      <c r="H33">
        <f t="shared" si="9"/>
        <v>0.14307603122357102</v>
      </c>
      <c r="I33">
        <f t="shared" si="10"/>
        <v>5</v>
      </c>
      <c r="J33">
        <f t="shared" si="11"/>
        <v>0.15673193947892664</v>
      </c>
    </row>
    <row r="34" spans="1:10" x14ac:dyDescent="0.25">
      <c r="A34">
        <v>1.65</v>
      </c>
      <c r="B34">
        <f>[1]!INTERPOLATE('H121'!$E$47:$BJ$47, 'H121'!$E$49:$BJ$49, A34)</f>
        <v>1</v>
      </c>
      <c r="C34">
        <f>[1]!INTERPOLATE('H401'!$E$47:$BH$47, 'H401'!$E$49:$BH$49, A34)</f>
        <v>1.1519894181374295</v>
      </c>
      <c r="D34">
        <f>[1]!INTERPOLATE('H403'!$E$47:$CQ$47, 'H403'!$E$49:$CQ$49, A34)</f>
        <v>1.2938706979598962</v>
      </c>
      <c r="E34">
        <f>[1]!INTERPOLATE('H404'!$E$47:$CC$47, 'H404'!$E$49:$CC$49, A34)</f>
        <v>1.3317926554009905</v>
      </c>
      <c r="F34">
        <f>[1]!INTERPOLATE('H602'!$E$47:$BI$47, 'H602'!$E$49:$BI$49, A34)</f>
        <v>1.1235978450810298</v>
      </c>
      <c r="G34">
        <f t="shared" si="8"/>
        <v>1.1802501233158691</v>
      </c>
      <c r="H34">
        <f t="shared" si="9"/>
        <v>0.13451117895455628</v>
      </c>
      <c r="I34">
        <f t="shared" si="10"/>
        <v>5</v>
      </c>
      <c r="J34">
        <f t="shared" si="11"/>
        <v>0.14734961390004928</v>
      </c>
    </row>
    <row r="35" spans="1:10" x14ac:dyDescent="0.25">
      <c r="A35">
        <v>1.7</v>
      </c>
      <c r="B35">
        <f>[1]!INTERPOLATE('H121'!$E$47:$BJ$47, 'H121'!$E$49:$BJ$49, A35)</f>
        <v>1</v>
      </c>
      <c r="C35">
        <f>[1]!INTERPOLATE('H401'!$E$47:$BH$47, 'H401'!$E$49:$BH$49, A35)</f>
        <v>1.1413427561837455</v>
      </c>
      <c r="D35">
        <f>[1]!INTERPOLATE('H403'!$E$47:$CQ$47, 'H403'!$E$49:$CQ$49, A35)</f>
        <v>1.2723942033827065</v>
      </c>
      <c r="E35">
        <f>[1]!INTERPOLATE('H404'!$E$47:$CC$47, 'H404'!$E$49:$CC$49, A35)</f>
        <v>1.2716535437691117</v>
      </c>
      <c r="F35">
        <f>[1]!INTERPOLATE('H602'!$E$47:$BI$47, 'H602'!$E$49:$BI$49, A35)</f>
        <v>1.0967393283719684</v>
      </c>
      <c r="G35">
        <f t="shared" si="8"/>
        <v>1.1564259663415064</v>
      </c>
      <c r="H35">
        <f t="shared" si="9"/>
        <v>0.11724451749327418</v>
      </c>
      <c r="I35">
        <f t="shared" si="10"/>
        <v>5</v>
      </c>
      <c r="J35">
        <f t="shared" si="11"/>
        <v>0.12843493394975064</v>
      </c>
    </row>
    <row r="36" spans="1:10" x14ac:dyDescent="0.25">
      <c r="A36">
        <v>1.75</v>
      </c>
      <c r="B36">
        <f>[1]!INTERPOLATE('H121'!$E$47:$BJ$47, 'H121'!$E$49:$BJ$49, A36)</f>
        <v>1</v>
      </c>
      <c r="C36">
        <f>[1]!INTERPOLATE('H401'!$E$47:$BH$47, 'H401'!$E$49:$BH$49, A36)</f>
        <v>1.1036054027451347</v>
      </c>
      <c r="D36">
        <f>[1]!INTERPOLATE('H403'!$E$47:$CQ$47, 'H403'!$E$49:$CQ$49, A36)</f>
        <v>1.2509177088055163</v>
      </c>
      <c r="E36">
        <f>[1]!INTERPOLATE('H404'!$E$47:$CC$47, 'H404'!$E$49:$CC$49, A36)</f>
        <v>1.2716535437691117</v>
      </c>
      <c r="F36">
        <f>[1]!INTERPOLATE('H602'!$E$47:$BI$47, 'H602'!$E$49:$BI$49, A36)</f>
        <v>1.0765234672340716</v>
      </c>
      <c r="G36">
        <f t="shared" si="8"/>
        <v>1.1405400245107669</v>
      </c>
      <c r="H36">
        <f t="shared" si="9"/>
        <v>0.11682013150844058</v>
      </c>
      <c r="I36">
        <f t="shared" si="10"/>
        <v>5</v>
      </c>
      <c r="J36">
        <f t="shared" si="11"/>
        <v>0.1279700423957858</v>
      </c>
    </row>
    <row r="37" spans="1:10" x14ac:dyDescent="0.25">
      <c r="A37">
        <v>1.8</v>
      </c>
      <c r="B37">
        <f>[1]!INTERPOLATE('H121'!$E$47:$BJ$47, 'H121'!$E$49:$BJ$49, A37)</f>
        <v>1</v>
      </c>
      <c r="C37">
        <f>[1]!INTERPOLATE('H401'!$E$47:$BH$47, 'H401'!$E$49:$BH$49, A37)</f>
        <v>1.0838926174496644</v>
      </c>
      <c r="D37">
        <f>[1]!INTERPOLATE('H403'!$E$47:$CQ$47, 'H403'!$E$49:$CQ$49, A37)</f>
        <v>1.2340425531914894</v>
      </c>
      <c r="E37">
        <f>[1]!INTERPOLATE('H404'!$E$47:$CC$47, 'H404'!$E$49:$CC$49, A37)</f>
        <v>1.2500020290684666</v>
      </c>
      <c r="F37">
        <f>[1]!INTERPOLATE('H602'!$E$47:$BI$47, 'H602'!$E$49:$BI$49, A37)</f>
        <v>1.0562655972799104</v>
      </c>
      <c r="G37">
        <f t="shared" si="8"/>
        <v>1.1248405593979061</v>
      </c>
      <c r="H37">
        <f t="shared" si="9"/>
        <v>0.11130464229834673</v>
      </c>
      <c r="I37">
        <f t="shared" si="10"/>
        <v>5</v>
      </c>
      <c r="J37">
        <f t="shared" si="11"/>
        <v>0.12192812668369632</v>
      </c>
    </row>
    <row r="38" spans="1:10" x14ac:dyDescent="0.25">
      <c r="A38">
        <v>1.85</v>
      </c>
      <c r="B38">
        <f>[1]!INTERPOLATE('H121'!$E$47:$BJ$47, 'H121'!$E$49:$BJ$49, A38)</f>
        <v>1</v>
      </c>
      <c r="C38">
        <f>[1]!INTERPOLATE('H401'!$E$47:$BH$47, 'H401'!$E$49:$BH$49, A38)</f>
        <v>1.0472088240939383</v>
      </c>
      <c r="D38">
        <f>[1]!INTERPOLATE('H403'!$E$47:$CQ$47, 'H403'!$E$49:$CQ$49, A38)</f>
        <v>1.1943445406249538</v>
      </c>
      <c r="E38">
        <f>[1]!INTERPOLATE('H404'!$E$47:$CC$47, 'H404'!$E$49:$CC$49, A38)</f>
        <v>1.201243424804592</v>
      </c>
      <c r="F38">
        <f>[1]!INTERPOLATE('H602'!$E$47:$BI$47, 'H602'!$E$49:$BI$49, A38)</f>
        <v>1.0357683571505136</v>
      </c>
      <c r="G38">
        <f t="shared" si="8"/>
        <v>1.0957130293347996</v>
      </c>
      <c r="H38">
        <f t="shared" si="9"/>
        <v>9.4831225106981373E-2</v>
      </c>
      <c r="I38">
        <f t="shared" si="10"/>
        <v>5</v>
      </c>
      <c r="J38">
        <f t="shared" si="11"/>
        <v>0.10388240229388791</v>
      </c>
    </row>
    <row r="39" spans="1:10" x14ac:dyDescent="0.25">
      <c r="A39">
        <v>1.9</v>
      </c>
      <c r="B39">
        <f>[1]!INTERPOLATE('H121'!$E$47:$BJ$47, 'H121'!$E$49:$BJ$49, A39)</f>
        <v>1</v>
      </c>
      <c r="C39">
        <f>[1]!INTERPOLATE('H401'!$E$47:$BH$47, 'H401'!$E$49:$BH$49, A39)</f>
        <v>1.0307600942451889</v>
      </c>
      <c r="D39">
        <f>[1]!INTERPOLATE('H403'!$E$47:$CQ$47, 'H403'!$E$49:$CQ$49, A39)</f>
        <v>1.1468926553672316</v>
      </c>
      <c r="E39">
        <f>[1]!INTERPOLATE('H404'!$E$47:$CC$47, 'H404'!$E$49:$CC$49, A39)</f>
        <v>1.1695715260345887</v>
      </c>
      <c r="F39">
        <f>[1]!INTERPOLATE('H602'!$E$47:$BI$47, 'H602'!$E$49:$BI$49, A39)</f>
        <v>1.0152189782216592</v>
      </c>
      <c r="G39">
        <f t="shared" si="8"/>
        <v>1.0724886507737337</v>
      </c>
      <c r="H39">
        <f t="shared" si="9"/>
        <v>7.9430367120576301E-2</v>
      </c>
      <c r="I39">
        <f t="shared" si="10"/>
        <v>5</v>
      </c>
      <c r="J39">
        <f t="shared" si="11"/>
        <v>8.7011607645712613E-2</v>
      </c>
    </row>
    <row r="40" spans="1:10" x14ac:dyDescent="0.25">
      <c r="A40">
        <v>1.95</v>
      </c>
      <c r="B40">
        <f>[1]!INTERPOLATE('H121'!$E$47:$BJ$47, 'H121'!$E$49:$BJ$49, A40)</f>
        <v>1</v>
      </c>
      <c r="C40">
        <f>[1]!INTERPOLATE('H401'!$E$47:$BH$47, 'H401'!$E$49:$BH$49, A40)</f>
        <v>1</v>
      </c>
      <c r="D40">
        <f>[1]!INTERPOLATE('H403'!$E$47:$CQ$47, 'H403'!$E$49:$CQ$49, A40)</f>
        <v>1.1468926553672316</v>
      </c>
      <c r="E40">
        <f>[1]!INTERPOLATE('H404'!$E$47:$CC$47, 'H404'!$E$49:$CC$49, A40)</f>
        <v>1.146816041481892</v>
      </c>
      <c r="F40">
        <f>[1]!INTERPOLATE('H602'!$E$47:$BI$47, 'H602'!$E$49:$BI$49, A40)</f>
        <v>1</v>
      </c>
      <c r="G40">
        <f t="shared" si="8"/>
        <v>1.0587417393698249</v>
      </c>
      <c r="H40">
        <f t="shared" si="9"/>
        <v>8.0435443860724154E-2</v>
      </c>
      <c r="I40">
        <f t="shared" si="10"/>
        <v>5</v>
      </c>
      <c r="J40">
        <f t="shared" si="11"/>
        <v>8.8112614050918081E-2</v>
      </c>
    </row>
    <row r="41" spans="1:10" x14ac:dyDescent="0.25">
      <c r="A41">
        <v>2</v>
      </c>
      <c r="B41">
        <f>[1]!INTERPOLATE('H121'!$E$47:$BJ$47, 'H121'!$E$49:$BJ$49, A41)</f>
        <v>1</v>
      </c>
      <c r="C41">
        <f>[1]!INTERPOLATE('H401'!$E$47:$BH$47, 'H401'!$E$49:$BH$49, A41)</f>
        <v>1</v>
      </c>
      <c r="D41">
        <f>[1]!INTERPOLATE('H403'!$E$47:$CQ$47, 'H403'!$E$49:$CQ$49, A41)</f>
        <v>1.1270071602442198</v>
      </c>
      <c r="E41">
        <f>[1]!INTERPOLATE('H404'!$E$47:$CC$47, 'H404'!$E$49:$CC$49, A41)</f>
        <v>1.1205325423275987</v>
      </c>
      <c r="F41">
        <f>[1]!INTERPOLATE('H602'!$E$47:$BI$47, 'H602'!$E$49:$BI$49, A41)</f>
        <v>1</v>
      </c>
      <c r="G41">
        <f t="shared" si="8"/>
        <v>1.0495079405143637</v>
      </c>
      <c r="H41">
        <f t="shared" si="9"/>
        <v>6.7830176992593819E-2</v>
      </c>
      <c r="I41">
        <f t="shared" si="10"/>
        <v>5</v>
      </c>
      <c r="J41">
        <f t="shared" si="11"/>
        <v>7.4304236036823124E-2</v>
      </c>
    </row>
    <row r="42" spans="1:10" x14ac:dyDescent="0.25">
      <c r="A42">
        <v>2.0499999999999998</v>
      </c>
      <c r="B42">
        <f>[1]!INTERPOLATE('H121'!$E$47:$BJ$47, 'H121'!$E$49:$BJ$49, A42)</f>
        <v>1</v>
      </c>
      <c r="C42">
        <f>[1]!INTERPOLATE('H401'!$E$47:$BH$47, 'H401'!$E$49:$BH$49, A42)</f>
        <v>1</v>
      </c>
      <c r="D42">
        <f>[1]!INTERPOLATE('H403'!$E$47:$CQ$47, 'H403'!$E$49:$CQ$49, A42)</f>
        <v>1.1070237463933383</v>
      </c>
      <c r="E42">
        <f>[1]!INTERPOLATE('H404'!$E$47:$CC$47, 'H404'!$E$49:$CC$49, A42)</f>
        <v>1.1061643837187092</v>
      </c>
      <c r="F42">
        <f>[1]!INTERPOLATE('H602'!$E$47:$BI$47, 'H602'!$E$49:$BI$49, A42)</f>
        <v>1</v>
      </c>
      <c r="G42">
        <f t="shared" si="8"/>
        <v>1.0426376260224095</v>
      </c>
      <c r="H42">
        <f t="shared" si="9"/>
        <v>5.83847644902004E-2</v>
      </c>
      <c r="I42">
        <f t="shared" si="10"/>
        <v>5</v>
      </c>
      <c r="J42">
        <f t="shared" si="11"/>
        <v>6.3957305051818736E-2</v>
      </c>
    </row>
    <row r="43" spans="1:10" x14ac:dyDescent="0.25">
      <c r="A43">
        <v>2.1</v>
      </c>
      <c r="B43">
        <f>[1]!INTERPOLATE('H121'!$E$47:$BJ$47, 'H121'!$E$49:$BJ$49, A43)</f>
        <v>1</v>
      </c>
      <c r="C43">
        <f>[1]!INTERPOLATE('H401'!$E$47:$BH$47, 'H401'!$E$49:$BH$49, A43)</f>
        <v>1</v>
      </c>
      <c r="D43">
        <f>[1]!INTERPOLATE('H403'!$E$47:$CQ$47, 'H403'!$E$49:$CQ$49, A43)</f>
        <v>1.07873841211546</v>
      </c>
      <c r="E43">
        <f>[1]!INTERPOLATE('H404'!$E$47:$CC$47, 'H404'!$E$49:$CC$49, A43)</f>
        <v>1.0296830001688608</v>
      </c>
      <c r="F43">
        <f>[1]!INTERPOLATE('H602'!$E$47:$BI$47, 'H602'!$E$49:$BI$49, A43)</f>
        <v>1</v>
      </c>
      <c r="G43">
        <f t="shared" si="8"/>
        <v>1.0216842824568642</v>
      </c>
      <c r="H43">
        <f t="shared" si="9"/>
        <v>3.4386688969509957E-2</v>
      </c>
      <c r="I43">
        <f t="shared" si="10"/>
        <v>5</v>
      </c>
      <c r="J43">
        <f t="shared" si="11"/>
        <v>3.7668730453029355E-2</v>
      </c>
    </row>
    <row r="44" spans="1:10" x14ac:dyDescent="0.25">
      <c r="A44">
        <v>2.15</v>
      </c>
      <c r="B44">
        <f>[1]!INTERPOLATE('H121'!$E$47:$BJ$47, 'H121'!$E$49:$BJ$49, A44)</f>
        <v>1</v>
      </c>
      <c r="C44">
        <f>[1]!INTERPOLATE('H401'!$E$47:$BH$47, 'H401'!$E$49:$BH$49, A44)</f>
        <v>1</v>
      </c>
      <c r="D44">
        <f>[1]!INTERPOLATE('H403'!$E$47:$CQ$47, 'H403'!$E$49:$CQ$49, A44)</f>
        <v>1.0667469894833397</v>
      </c>
      <c r="E44">
        <f>[1]!INTERPOLATE('H404'!$E$47:$CC$47, 'H404'!$E$49:$CC$49, A44)</f>
        <v>1.012539184969959</v>
      </c>
      <c r="F44">
        <f>[1]!INTERPOLATE('H602'!$E$47:$BI$47, 'H602'!$E$49:$BI$49, A44)</f>
        <v>1</v>
      </c>
      <c r="G44">
        <f t="shared" si="8"/>
        <v>1.0158572348906598</v>
      </c>
      <c r="H44">
        <f t="shared" si="9"/>
        <v>2.8961751815593448E-2</v>
      </c>
      <c r="I44">
        <f t="shared" si="10"/>
        <v>5</v>
      </c>
      <c r="J44">
        <f t="shared" si="11"/>
        <v>3.1726009548533461E-2</v>
      </c>
    </row>
    <row r="45" spans="1:10" x14ac:dyDescent="0.25">
      <c r="A45">
        <v>2.2000000000000002</v>
      </c>
      <c r="B45">
        <f>[1]!INTERPOLATE('H121'!$E$47:$BJ$47, 'H121'!$E$49:$BJ$49, A45)</f>
        <v>1</v>
      </c>
      <c r="C45">
        <f>[1]!INTERPOLATE('H401'!$E$47:$BH$47, 'H401'!$E$49:$BH$49, A45)</f>
        <v>1</v>
      </c>
      <c r="D45">
        <f>[1]!INTERPOLATE('H403'!$E$47:$CQ$47, 'H403'!$E$49:$CQ$49, A45)</f>
        <v>1.0442247783528777</v>
      </c>
      <c r="E45">
        <f>[1]!INTERPOLATE('H404'!$E$47:$CC$47, 'H404'!$E$49:$CC$49, A45)</f>
        <v>1.012539184969959</v>
      </c>
      <c r="F45">
        <f>[1]!INTERPOLATE('H602'!$E$47:$BI$47, 'H602'!$E$49:$BI$49, A45)</f>
        <v>1</v>
      </c>
      <c r="G45">
        <f t="shared" si="8"/>
        <v>1.0113527926645673</v>
      </c>
      <c r="H45">
        <f t="shared" si="9"/>
        <v>1.9161371777933454E-2</v>
      </c>
      <c r="I45">
        <f t="shared" si="10"/>
        <v>5</v>
      </c>
      <c r="J45">
        <f t="shared" si="11"/>
        <v>2.0990231111034045E-2</v>
      </c>
    </row>
    <row r="46" spans="1:10" x14ac:dyDescent="0.25">
      <c r="A46">
        <v>2.25</v>
      </c>
      <c r="B46">
        <f>[1]!INTERPOLATE('H121'!$E$47:$BJ$47, 'H121'!$E$49:$BJ$49, A46)</f>
        <v>1</v>
      </c>
      <c r="C46">
        <f>[1]!INTERPOLATE('H401'!$E$47:$BH$47, 'H401'!$E$49:$BH$49, A46)</f>
        <v>1</v>
      </c>
      <c r="D46">
        <f>[1]!INTERPOLATE('H403'!$E$47:$CQ$47, 'H403'!$E$49:$CQ$49, A46)</f>
        <v>1.038034109950444</v>
      </c>
      <c r="E46">
        <f>[1]!INTERPOLATE('H404'!$E$47:$CC$47, 'H404'!$E$49:$CC$49, A46)</f>
        <v>1.0029260018369581</v>
      </c>
      <c r="F46">
        <f>[1]!INTERPOLATE('H602'!$E$47:$BI$47, 'H602'!$E$49:$BI$49, A46)</f>
        <v>1</v>
      </c>
      <c r="G46">
        <f t="shared" si="8"/>
        <v>1.0081920223574805</v>
      </c>
      <c r="H46">
        <f t="shared" si="9"/>
        <v>1.6730278352025774E-2</v>
      </c>
      <c r="I46">
        <f t="shared" si="10"/>
        <v>5</v>
      </c>
      <c r="J46">
        <f t="shared" si="11"/>
        <v>1.8327101693489743E-2</v>
      </c>
    </row>
    <row r="47" spans="1:10" x14ac:dyDescent="0.25">
      <c r="A47">
        <v>2.2999999999999998</v>
      </c>
      <c r="B47">
        <f>[1]!INTERPOLATE('H121'!$E$47:$BJ$47, 'H121'!$E$49:$BJ$49, A47)</f>
        <v>1</v>
      </c>
      <c r="C47">
        <f>[1]!INTERPOLATE('H401'!$E$47:$BH$47, 'H401'!$E$49:$BH$49, A47)</f>
        <v>1</v>
      </c>
      <c r="D47">
        <f>[1]!INTERPOLATE('H403'!$E$47:$CQ$47, 'H403'!$E$49:$CQ$49, A47)</f>
        <v>1.0291521507989807</v>
      </c>
      <c r="E47">
        <f>[1]!INTERPOLATE('H404'!$E$47:$CC$47, 'H404'!$E$49:$CC$49, A47)</f>
        <v>1.0016375534620674</v>
      </c>
      <c r="F47">
        <f>[1]!INTERPOLATE('H602'!$E$47:$BI$47, 'H602'!$E$49:$BI$49, A47)</f>
        <v>1</v>
      </c>
      <c r="G47">
        <f t="shared" si="8"/>
        <v>1.0061579408522097</v>
      </c>
      <c r="H47">
        <f t="shared" si="9"/>
        <v>1.2873697020000505E-2</v>
      </c>
      <c r="I47">
        <f t="shared" si="10"/>
        <v>5</v>
      </c>
      <c r="J47">
        <f t="shared" si="11"/>
        <v>1.4102428512682622E-2</v>
      </c>
    </row>
    <row r="48" spans="1:10" x14ac:dyDescent="0.25">
      <c r="A48">
        <v>2.35</v>
      </c>
      <c r="B48">
        <f>[1]!INTERPOLATE('H121'!$E$47:$BJ$47, 'H121'!$E$49:$BJ$49, A48)</f>
        <v>1</v>
      </c>
      <c r="C48">
        <f>[1]!INTERPOLATE('H401'!$E$47:$BH$47, 'H401'!$E$49:$BH$49, A48)</f>
        <v>1</v>
      </c>
      <c r="D48">
        <f>[1]!INTERPOLATE('H403'!$E$47:$CQ$47, 'H403'!$E$49:$CQ$49, A48)</f>
        <v>1.0252525252525253</v>
      </c>
      <c r="E48">
        <f>[1]!INTERPOLATE('H404'!$E$47:$CC$47, 'H404'!$E$49:$CC$49, A48)</f>
        <v>1.0003491050871767</v>
      </c>
      <c r="F48">
        <f>[1]!INTERPOLATE('H602'!$E$47:$BI$47, 'H602'!$E$49:$BI$49, A48)</f>
        <v>1</v>
      </c>
      <c r="G48">
        <f t="shared" si="8"/>
        <v>1.0051203260679404</v>
      </c>
      <c r="H48">
        <f t="shared" si="9"/>
        <v>1.125525666945418E-2</v>
      </c>
      <c r="I48">
        <f t="shared" si="10"/>
        <v>5</v>
      </c>
      <c r="J48">
        <f t="shared" si="11"/>
        <v>1.2329515936741042E-2</v>
      </c>
    </row>
    <row r="49" spans="1:10" x14ac:dyDescent="0.25">
      <c r="A49">
        <v>2.4</v>
      </c>
      <c r="B49">
        <f>[1]!INTERPOLATE('H121'!$E$47:$BJ$47, 'H121'!$E$49:$BJ$49, A49)</f>
        <v>1</v>
      </c>
      <c r="C49">
        <f>[1]!INTERPOLATE('H401'!$E$47:$BH$47, 'H401'!$E$49:$BH$49, A49)</f>
        <v>1</v>
      </c>
      <c r="D49">
        <f>[1]!INTERPOLATE('H403'!$E$47:$CQ$47, 'H403'!$E$49:$CQ$49, A49)</f>
        <v>1.0252525252525253</v>
      </c>
      <c r="E49">
        <f>[1]!INTERPOLATE('H404'!$E$47:$CC$47, 'H404'!$E$49:$CC$49, A49)</f>
        <v>1</v>
      </c>
      <c r="F49">
        <f>[1]!INTERPOLATE('H602'!$E$47:$BI$47, 'H602'!$E$49:$BI$49, A49)</f>
        <v>1</v>
      </c>
      <c r="G49">
        <f t="shared" si="8"/>
        <v>1.005050505050505</v>
      </c>
      <c r="H49">
        <f t="shared" si="9"/>
        <v>1.1293272613635325E-2</v>
      </c>
      <c r="I49">
        <f t="shared" si="10"/>
        <v>5</v>
      </c>
      <c r="J49">
        <f t="shared" si="11"/>
        <v>1.2371160317086783E-2</v>
      </c>
    </row>
    <row r="50" spans="1:10" x14ac:dyDescent="0.25">
      <c r="A50">
        <v>2.4500000000000002</v>
      </c>
      <c r="B50">
        <f>[1]!INTERPOLATE('H121'!$E$47:$BJ$47, 'H121'!$E$49:$BJ$49, A50)</f>
        <v>1</v>
      </c>
      <c r="C50">
        <f>[1]!INTERPOLATE('H401'!$E$47:$BH$47, 'H401'!$E$49:$BH$49, A50)</f>
        <v>1</v>
      </c>
      <c r="D50">
        <f>[1]!INTERPOLATE('H403'!$E$47:$CQ$47, 'H403'!$E$49:$CQ$49, A50)</f>
        <v>1.0035752816660977</v>
      </c>
      <c r="E50">
        <f>[1]!INTERPOLATE('H404'!$E$47:$CC$47, 'H404'!$E$49:$CC$49, A50)</f>
        <v>1</v>
      </c>
      <c r="F50">
        <f>[1]!INTERPOLATE('H602'!$E$47:$BI$47, 'H602'!$E$49:$BI$49, A50)</f>
        <v>1</v>
      </c>
      <c r="G50">
        <f t="shared" si="8"/>
        <v>1.0007150563332197</v>
      </c>
      <c r="H50">
        <f t="shared" si="9"/>
        <v>1.5989145688206157E-3</v>
      </c>
      <c r="I50">
        <f t="shared" si="10"/>
        <v>5</v>
      </c>
      <c r="J50">
        <f t="shared" si="11"/>
        <v>1.751523153733395E-3</v>
      </c>
    </row>
    <row r="51" spans="1:10" x14ac:dyDescent="0.25">
      <c r="A51">
        <v>2.5</v>
      </c>
      <c r="B51">
        <f>[1]!INTERPOLATE('H121'!$E$47:$BJ$47, 'H121'!$E$49:$BJ$49, A51)</f>
        <v>1</v>
      </c>
      <c r="C51">
        <f>[1]!INTERPOLATE('H401'!$E$47:$BH$47, 'H401'!$E$49:$BH$49, A51)</f>
        <v>1</v>
      </c>
      <c r="D51">
        <f>[1]!INTERPOLATE('H403'!$E$47:$CQ$47, 'H403'!$E$49:$CQ$49, A51)</f>
        <v>1.0001611471491976</v>
      </c>
      <c r="E51">
        <f>[1]!INTERPOLATE('H404'!$E$47:$CC$47, 'H404'!$E$49:$CC$49, A51)</f>
        <v>1</v>
      </c>
      <c r="F51">
        <f>[1]!INTERPOLATE('H602'!$E$47:$BI$47, 'H602'!$E$49:$BI$49, A51)</f>
        <v>1</v>
      </c>
      <c r="G51">
        <f t="shared" si="8"/>
        <v>1.0000322294298396</v>
      </c>
      <c r="H51">
        <f t="shared" si="9"/>
        <v>7.2067195997214037E-5</v>
      </c>
      <c r="I51">
        <f t="shared" si="10"/>
        <v>5</v>
      </c>
      <c r="J51">
        <f t="shared" si="11"/>
        <v>7.8945657807640278E-5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992A-E740-4F53-9C99-5F78DA372744}">
  <dimension ref="A1:T62"/>
  <sheetViews>
    <sheetView zoomScaleNormal="100" workbookViewId="0"/>
  </sheetViews>
  <sheetFormatPr defaultRowHeight="15" x14ac:dyDescent="0.25"/>
  <cols>
    <col min="7" max="7" width="9.140625" customWidth="1"/>
  </cols>
  <sheetData>
    <row r="1" spans="1:20" x14ac:dyDescent="0.25">
      <c r="A1" s="2" t="s">
        <v>38</v>
      </c>
      <c r="B1" s="2" t="s">
        <v>18</v>
      </c>
      <c r="C1" s="2" t="s">
        <v>15</v>
      </c>
      <c r="D1" s="2" t="s">
        <v>16</v>
      </c>
      <c r="E1" s="2" t="s">
        <v>17</v>
      </c>
      <c r="F1" s="2" t="s">
        <v>14</v>
      </c>
      <c r="G1" s="4" t="s">
        <v>39</v>
      </c>
      <c r="H1" s="2" t="s">
        <v>41</v>
      </c>
      <c r="I1" s="4" t="s">
        <v>40</v>
      </c>
      <c r="J1" s="2" t="s">
        <v>42</v>
      </c>
      <c r="S1" s="2"/>
      <c r="T1" s="2"/>
    </row>
    <row r="2" spans="1:20" x14ac:dyDescent="0.25">
      <c r="A2">
        <v>0</v>
      </c>
      <c r="B2">
        <f>[1]!INTERPOLATE('H121'!$E$48:$BJ$48, 'H121'!$E$49:$BJ$49, A2)</f>
        <v>8.5777781566666658</v>
      </c>
      <c r="C2">
        <f>[1]!INTERPOLATE('H401'!$E$48:$BH$48, 'H401'!$E$49:$BH$49, A2)</f>
        <v>5.3833333333333337</v>
      </c>
      <c r="D2">
        <f>[1]!INTERPOLATE('H403'!$E$48:$CQ$48, 'H403'!$E$49:$CQ$49, A2)</f>
        <v>6.7666666666666666</v>
      </c>
      <c r="E2">
        <f>[1]!INTERPOLATE('H404'!$E$48:$CC$48, 'H404'!$E$49:$CC$49, A2)</f>
        <v>5.9814815213333334</v>
      </c>
      <c r="F2">
        <f>[1]!INTERPOLATE('H602'!$E$48:$BI$48, 'H602'!$E$49:$BI$49, A2)</f>
        <v>6.1</v>
      </c>
      <c r="G2" s="8">
        <f>AVERAGE(B2:F2)</f>
        <v>6.5618519355999991</v>
      </c>
      <c r="H2">
        <f>IF(A2&lt;0.85, 1.5*EXP(-3*A2)+0.88, 1)</f>
        <v>2.38</v>
      </c>
      <c r="I2">
        <f>_xlfn.STDEV.S(B2:F2)</f>
        <v>1.2293240751433501</v>
      </c>
      <c r="J2">
        <f>IF(A2&lt;1.1, 0.53*EXP(-2.1*A2)-0.05, 0)</f>
        <v>0.48000000000000004</v>
      </c>
    </row>
    <row r="3" spans="1:20" x14ac:dyDescent="0.25">
      <c r="A3">
        <v>0.02</v>
      </c>
      <c r="B3">
        <f>[1]!INTERPOLATE('H121'!$E$48:$BJ$48, 'H121'!$E$49:$BJ$49, A3)</f>
        <v>5.47841875492764</v>
      </c>
      <c r="C3">
        <f>[1]!INTERPOLATE('H401'!$E$48:$BH$48, 'H401'!$E$49:$BH$49, A3)</f>
        <v>2.9300313512631999</v>
      </c>
      <c r="D3">
        <f>[1]!INTERPOLATE('H403'!$E$48:$CQ$48, 'H403'!$E$49:$CQ$49, A3)</f>
        <v>3.5049037712422608</v>
      </c>
      <c r="E3">
        <f>[1]!INTERPOLATE('H404'!$E$48:$CC$48, 'H404'!$E$49:$CC$49, A3)</f>
        <v>1.997467500260945</v>
      </c>
      <c r="F3">
        <f>[1]!INTERPOLATE('H602'!$E$48:$BI$48, 'H602'!$E$49:$BI$49, A3)</f>
        <v>2.2875000000000001</v>
      </c>
      <c r="G3" s="8">
        <f>AVERAGE(B3:F3)</f>
        <v>3.2396642755388094</v>
      </c>
      <c r="H3">
        <f t="shared" ref="H3:H62" si="0">IF(A3&lt;0.85, 1.5*EXP(-3*A3)+0.88, 1)</f>
        <v>2.2926468003763731</v>
      </c>
      <c r="I3">
        <f>_xlfn.STDEV.S(B3:F3)</f>
        <v>1.380934085409502</v>
      </c>
      <c r="J3">
        <f t="shared" ref="J3:J62" si="1">IF(A3&lt;1.1, 0.53*EXP(-2.1*A3)-0.05, 0)</f>
        <v>0.45820098370341683</v>
      </c>
    </row>
    <row r="4" spans="1:20" x14ac:dyDescent="0.25">
      <c r="A4">
        <v>0.04</v>
      </c>
      <c r="B4">
        <f>[1]!INTERPOLATE('H121'!$E$48:$BJ$48, 'H121'!$E$49:$BJ$49, A4)</f>
        <v>4.1063830530783143</v>
      </c>
      <c r="C4">
        <f>[1]!INTERPOLATE('H401'!$E$48:$BH$48, 'H401'!$E$49:$BH$49, A4)</f>
        <v>2.9193674710079875</v>
      </c>
      <c r="D4">
        <f>[1]!INTERPOLATE('H403'!$E$48:$CQ$48, 'H403'!$E$49:$CQ$49, A4)</f>
        <v>2.1768865076618891</v>
      </c>
      <c r="E4">
        <f>[1]!INTERPOLATE('H404'!$E$48:$CC$48, 'H404'!$E$49:$CC$49, A4)</f>
        <v>1.8006254187864645</v>
      </c>
      <c r="F4">
        <f>[1]!INTERPOLATE('H602'!$E$48:$BI$48, 'H602'!$E$49:$BI$49, A4)</f>
        <v>2.2052742114255741</v>
      </c>
      <c r="G4" s="8">
        <f t="shared" ref="G4" si="2">AVERAGE(B4:F4)</f>
        <v>2.6417073323920461</v>
      </c>
      <c r="H4">
        <f t="shared" si="0"/>
        <v>2.2103806550757361</v>
      </c>
      <c r="I4">
        <f t="shared" ref="I4" si="3">_xlfn.STDEV.S(B4:F4)</f>
        <v>0.91327996432061409</v>
      </c>
      <c r="J4">
        <f t="shared" si="1"/>
        <v>0.43729856573041609</v>
      </c>
    </row>
    <row r="5" spans="1:20" x14ac:dyDescent="0.25">
      <c r="A5">
        <v>0.06</v>
      </c>
      <c r="B5">
        <f>[1]!INTERPOLATE('H121'!$E$48:$BJ$48, 'H121'!$E$49:$BJ$49, A5)</f>
        <v>4.1063830530783143</v>
      </c>
      <c r="C5">
        <f>[1]!INTERPOLATE('H401'!$E$48:$BH$48, 'H401'!$E$49:$BH$49, A5)</f>
        <v>1.9774028682090972</v>
      </c>
      <c r="D5">
        <f>[1]!INTERPOLATE('H403'!$E$48:$CQ$48, 'H403'!$E$49:$CQ$49, A5)</f>
        <v>2.1669494917694276</v>
      </c>
      <c r="E5">
        <f>[1]!INTERPOLATE('H404'!$E$48:$CC$48, 'H404'!$E$49:$CC$49, A5)</f>
        <v>1.6979593323896995</v>
      </c>
      <c r="F5">
        <f>[1]!INTERPOLATE('H602'!$E$48:$BI$48, 'H602'!$E$49:$BI$49, A5)</f>
        <v>2.0804289418904833</v>
      </c>
      <c r="G5" s="8">
        <f>AVERAGE(B5:F5)</f>
        <v>2.4058247374674044</v>
      </c>
      <c r="H5">
        <f t="shared" si="0"/>
        <v>2.1329053171169079</v>
      </c>
      <c r="I5">
        <f>_xlfn.STDEV.S(B5:F5)</f>
        <v>0.9668843159013949</v>
      </c>
      <c r="J5">
        <f t="shared" si="1"/>
        <v>0.41725586879521054</v>
      </c>
    </row>
    <row r="6" spans="1:20" x14ac:dyDescent="0.25">
      <c r="A6">
        <v>0.08</v>
      </c>
      <c r="B6">
        <f>[1]!INTERPOLATE('H121'!$E$48:$BJ$48, 'H121'!$E$49:$BJ$49, A6)</f>
        <v>2.2931835042212487</v>
      </c>
      <c r="C6">
        <f>[1]!INTERPOLATE('H401'!$E$48:$BH$48, 'H401'!$E$49:$BH$49, A6)</f>
        <v>1.7270058196101767</v>
      </c>
      <c r="D6">
        <f>[1]!INTERPOLATE('H403'!$E$48:$CQ$48, 'H403'!$E$49:$CQ$49, A6)</f>
        <v>2.1570124758769653</v>
      </c>
      <c r="E6">
        <f>[1]!INTERPOLATE('H404'!$E$48:$CC$48, 'H404'!$E$49:$CC$49, A6)</f>
        <v>1.5975069951017351</v>
      </c>
      <c r="F6">
        <f>[1]!INTERPOLATE('H602'!$E$48:$BI$48, 'H602'!$E$49:$BI$49, A6)</f>
        <v>1.9555836723553917</v>
      </c>
      <c r="G6" s="8">
        <f t="shared" ref="G6:G26" si="4">AVERAGE(B6:F6)</f>
        <v>1.9460584934331038</v>
      </c>
      <c r="H6">
        <f t="shared" si="0"/>
        <v>2.0599417915998304</v>
      </c>
      <c r="I6">
        <f t="shared" ref="I6:I26" si="5">_xlfn.STDEV.S(B6:F6)</f>
        <v>0.2892059412231639</v>
      </c>
      <c r="J6">
        <f t="shared" si="1"/>
        <v>0.39803753238286915</v>
      </c>
    </row>
    <row r="7" spans="1:20" x14ac:dyDescent="0.25">
      <c r="A7">
        <v>0.1</v>
      </c>
      <c r="B7">
        <f>[1]!INTERPOLATE('H121'!$E$48:$BJ$48, 'H121'!$E$49:$BJ$49, A7)</f>
        <v>1.7545454622623962</v>
      </c>
      <c r="C7">
        <f>[1]!INTERPOLATE('H401'!$E$48:$BH$48, 'H401'!$E$49:$BH$49, A7)</f>
        <v>1.7120200466016653</v>
      </c>
      <c r="D7">
        <f>[1]!INTERPOLATE('H403'!$E$48:$CQ$48, 'H403'!$E$49:$CQ$49, A7)</f>
        <v>2.1470754599845039</v>
      </c>
      <c r="E7">
        <f>[1]!INTERPOLATE('H404'!$E$48:$CC$48, 'H404'!$E$49:$CC$49, A7)</f>
        <v>1.5679611662396078</v>
      </c>
      <c r="F7">
        <f>[1]!INTERPOLATE('H602'!$E$48:$BI$48, 'H602'!$E$49:$BI$49, A7)</f>
        <v>1.8865979381443299</v>
      </c>
      <c r="G7" s="8">
        <f t="shared" si="4"/>
        <v>1.8136400146465008</v>
      </c>
      <c r="H7">
        <f t="shared" si="0"/>
        <v>1.9912273310225768</v>
      </c>
      <c r="I7">
        <f t="shared" si="5"/>
        <v>0.21833399608759563</v>
      </c>
      <c r="J7">
        <f t="shared" si="1"/>
        <v>0.37960965036419919</v>
      </c>
    </row>
    <row r="8" spans="1:20" x14ac:dyDescent="0.25">
      <c r="A8">
        <v>0.12</v>
      </c>
      <c r="B8">
        <f>[1]!INTERPOLATE('H121'!$E$48:$BJ$48, 'H121'!$E$49:$BJ$49, A8)</f>
        <v>1.7545454622623966</v>
      </c>
      <c r="C8">
        <f>[1]!INTERPOLATE('H401'!$E$48:$BH$48, 'H401'!$E$49:$BH$49, A8)</f>
        <v>1.6970342735931543</v>
      </c>
      <c r="D8">
        <f>[1]!INTERPOLATE('H403'!$E$48:$CQ$48, 'H403'!$E$49:$CQ$49, A8)</f>
        <v>2.1371384440920416</v>
      </c>
      <c r="E8">
        <f>[1]!INTERPOLATE('H404'!$E$48:$CC$48, 'H404'!$E$49:$CC$49, A8)</f>
        <v>1.5679611662396078</v>
      </c>
      <c r="F8">
        <f>[1]!INTERPOLATE('H602'!$E$48:$BI$48, 'H602'!$E$49:$BI$49, A8)</f>
        <v>1.8865979381443299</v>
      </c>
      <c r="G8" s="8">
        <f t="shared" si="4"/>
        <v>1.808655456866306</v>
      </c>
      <c r="H8">
        <f t="shared" si="0"/>
        <v>1.9265144891065464</v>
      </c>
      <c r="I8">
        <f t="shared" si="5"/>
        <v>0.21638913148315869</v>
      </c>
      <c r="J8">
        <f t="shared" si="1"/>
        <v>0.3619397111765415</v>
      </c>
    </row>
    <row r="9" spans="1:20" x14ac:dyDescent="0.25">
      <c r="A9">
        <v>0.14000000000000001</v>
      </c>
      <c r="B9">
        <f>[1]!INTERPOLATE('H121'!$E$48:$BJ$48, 'H121'!$E$49:$BJ$49, A9)</f>
        <v>1.7545454622623962</v>
      </c>
      <c r="C9">
        <f>[1]!INTERPOLATE('H401'!$E$48:$BH$48, 'H401'!$E$49:$BH$49, A9)</f>
        <v>1.6820485005846431</v>
      </c>
      <c r="D9">
        <f>[1]!INTERPOLATE('H403'!$E$48:$CQ$48, 'H403'!$E$49:$CQ$49, A9)</f>
        <v>2.1272014281995801</v>
      </c>
      <c r="E9">
        <f>[1]!INTERPOLATE('H404'!$E$48:$CC$48, 'H404'!$E$49:$CC$49, A9)</f>
        <v>1.5679611662396078</v>
      </c>
      <c r="F9">
        <f>[1]!INTERPOLATE('H602'!$E$48:$BI$48, 'H602'!$E$49:$BI$49, A9)</f>
        <v>1.8865979381443299</v>
      </c>
      <c r="G9" s="8">
        <f t="shared" si="4"/>
        <v>1.8036708990861114</v>
      </c>
      <c r="H9">
        <f t="shared" si="0"/>
        <v>1.8655702297225851</v>
      </c>
      <c r="I9">
        <f t="shared" si="5"/>
        <v>0.21465861943697159</v>
      </c>
      <c r="J9">
        <f t="shared" si="1"/>
        <v>0.34499654046494299</v>
      </c>
    </row>
    <row r="10" spans="1:20" x14ac:dyDescent="0.25">
      <c r="A10">
        <v>0.16</v>
      </c>
      <c r="B10">
        <f>[1]!INTERPOLATE('H121'!$E$48:$BJ$48, 'H121'!$E$49:$BJ$49, A10)</f>
        <v>1.7545454622623966</v>
      </c>
      <c r="C10">
        <f>[1]!INTERPOLATE('H401'!$E$48:$BH$48, 'H401'!$E$49:$BH$49, A10)</f>
        <v>1.6670627275761318</v>
      </c>
      <c r="D10">
        <f>[1]!INTERPOLATE('H403'!$E$48:$CQ$48, 'H403'!$E$49:$CQ$49, A10)</f>
        <v>2.1172644123071183</v>
      </c>
      <c r="E10">
        <f>[1]!INTERPOLATE('H404'!$E$48:$CC$48, 'H404'!$E$49:$CC$49, A10)</f>
        <v>1.5679611662396078</v>
      </c>
      <c r="F10">
        <f>[1]!INTERPOLATE('H602'!$E$48:$BI$48, 'H602'!$E$49:$BI$49, A10)</f>
        <v>1.8865979381443299</v>
      </c>
      <c r="G10" s="8">
        <f t="shared" si="4"/>
        <v>1.7986863413059169</v>
      </c>
      <c r="H10">
        <f t="shared" si="0"/>
        <v>1.8081750877092113</v>
      </c>
      <c r="I10">
        <f t="shared" si="5"/>
        <v>0.21314768089573877</v>
      </c>
      <c r="J10">
        <f t="shared" si="1"/>
        <v>0.32875024608251036</v>
      </c>
    </row>
    <row r="11" spans="1:20" x14ac:dyDescent="0.25">
      <c r="A11">
        <v>0.18</v>
      </c>
      <c r="B11">
        <f>[1]!INTERPOLATE('H121'!$E$48:$BJ$48, 'H121'!$E$49:$BJ$49, A11)</f>
        <v>1.7545454622623964</v>
      </c>
      <c r="C11">
        <f>[1]!INTERPOLATE('H401'!$E$48:$BH$48, 'H401'!$E$49:$BH$49, A11)</f>
        <v>1.5348379619673205</v>
      </c>
      <c r="D11">
        <f>[1]!INTERPOLATE('H403'!$E$48:$CQ$48, 'H403'!$E$49:$CQ$49, A11)</f>
        <v>2.1073273964146564</v>
      </c>
      <c r="E11">
        <f>[1]!INTERPOLATE('H404'!$E$48:$CC$48, 'H404'!$E$49:$CC$49, A11)</f>
        <v>1.5679611662396078</v>
      </c>
      <c r="F11">
        <f>[1]!INTERPOLATE('H602'!$E$48:$BI$48, 'H602'!$E$49:$BI$49, A11)</f>
        <v>1.8846139161546953</v>
      </c>
      <c r="G11" s="8">
        <f t="shared" si="4"/>
        <v>1.7698571806077354</v>
      </c>
      <c r="H11">
        <f t="shared" si="0"/>
        <v>1.7541223785609845</v>
      </c>
      <c r="I11">
        <f t="shared" si="5"/>
        <v>0.23626560127160759</v>
      </c>
      <c r="J11">
        <f t="shared" si="1"/>
        <v>0.31317216535291131</v>
      </c>
    </row>
    <row r="12" spans="1:20" x14ac:dyDescent="0.25">
      <c r="A12">
        <v>0.2</v>
      </c>
      <c r="B12">
        <f>[1]!INTERPOLATE('H121'!$E$48:$BJ$48, 'H121'!$E$49:$BJ$49, A12)</f>
        <v>1.7161274796891828</v>
      </c>
      <c r="C12">
        <f>[1]!INTERPOLATE('H401'!$E$48:$BH$48, 'H401'!$E$49:$BH$49, A12)</f>
        <v>1.498122838940328</v>
      </c>
      <c r="D12">
        <f>[1]!INTERPOLATE('H403'!$E$48:$CQ$48, 'H403'!$E$49:$CQ$49, A12)</f>
        <v>2.0973903805221941</v>
      </c>
      <c r="E12">
        <f>[1]!INTERPOLATE('H404'!$E$48:$CC$48, 'H404'!$E$49:$CC$49, A12)</f>
        <v>1.5679611662396078</v>
      </c>
      <c r="F12">
        <f>[1]!INTERPOLATE('H602'!$E$48:$BI$48, 'H602'!$E$49:$BI$49, A12)</f>
        <v>1.8546879651872801</v>
      </c>
      <c r="G12" s="8">
        <f t="shared" si="4"/>
        <v>1.7468579661157186</v>
      </c>
      <c r="H12">
        <f t="shared" si="0"/>
        <v>1.7032174541410394</v>
      </c>
      <c r="I12">
        <f t="shared" si="5"/>
        <v>0.2394357291332507</v>
      </c>
      <c r="J12">
        <f t="shared" si="1"/>
        <v>0.29823481450198008</v>
      </c>
    </row>
    <row r="13" spans="1:20" x14ac:dyDescent="0.25">
      <c r="A13">
        <v>0.22</v>
      </c>
      <c r="B13">
        <f>[1]!INTERPOLATE('H121'!$E$48:$BJ$48, 'H121'!$E$49:$BJ$49, A13)</f>
        <v>1.6178171265234651</v>
      </c>
      <c r="C13">
        <f>[1]!INTERPOLATE('H401'!$E$48:$BH$48, 'H401'!$E$49:$BH$49, A13)</f>
        <v>1.4614077159133361</v>
      </c>
      <c r="D13">
        <f>[1]!INTERPOLATE('H403'!$E$48:$CQ$48, 'H403'!$E$49:$CQ$49, A13)</f>
        <v>1.9967331593701436</v>
      </c>
      <c r="E13">
        <f>[1]!INTERPOLATE('H404'!$E$48:$CC$48, 'H404'!$E$49:$CC$49, A13)</f>
        <v>1.5679611662396078</v>
      </c>
      <c r="F13">
        <f>[1]!INTERPOLATE('H602'!$E$48:$BI$48, 'H602'!$E$49:$BI$49, A13)</f>
        <v>1.8247620142198653</v>
      </c>
      <c r="G13" s="8">
        <f t="shared" si="4"/>
        <v>1.6937362364532837</v>
      </c>
      <c r="H13">
        <f t="shared" si="0"/>
        <v>1.6552770017375487</v>
      </c>
      <c r="I13">
        <f t="shared" si="5"/>
        <v>0.21478740112753952</v>
      </c>
      <c r="J13">
        <f t="shared" si="1"/>
        <v>0.2839118401692135</v>
      </c>
    </row>
    <row r="14" spans="1:20" x14ac:dyDescent="0.25">
      <c r="A14">
        <v>0.24</v>
      </c>
      <c r="B14">
        <f>[1]!INTERPOLATE('H121'!$E$48:$BJ$48, 'H121'!$E$49:$BJ$49, A14)</f>
        <v>1.434944241556225</v>
      </c>
      <c r="C14">
        <f>[1]!INTERPOLATE('H401'!$E$48:$BH$48, 'H401'!$E$49:$BH$49, A14)</f>
        <v>1.4246925928863439</v>
      </c>
      <c r="D14">
        <f>[1]!INTERPOLATE('H403'!$E$48:$CQ$48, 'H403'!$E$49:$CQ$49, A14)</f>
        <v>1.9905527523940498</v>
      </c>
      <c r="E14">
        <f>[1]!INTERPOLATE('H404'!$E$48:$CC$48, 'H404'!$E$49:$CC$49, A14)</f>
        <v>1.5679611662396078</v>
      </c>
      <c r="F14">
        <f>[1]!INTERPOLATE('H602'!$E$48:$BI$48, 'H602'!$E$49:$BI$49, A14)</f>
        <v>1.7948360632524505</v>
      </c>
      <c r="G14" s="8">
        <f t="shared" si="4"/>
        <v>1.6425973632657354</v>
      </c>
      <c r="H14">
        <f t="shared" si="0"/>
        <v>1.6101283839399576</v>
      </c>
      <c r="I14">
        <f t="shared" si="5"/>
        <v>0.24516445725951205</v>
      </c>
      <c r="J14">
        <f t="shared" si="1"/>
        <v>0.27017797291360829</v>
      </c>
    </row>
    <row r="15" spans="1:20" x14ac:dyDescent="0.25">
      <c r="A15">
        <v>0.26</v>
      </c>
      <c r="B15">
        <f>[1]!INTERPOLATE('H121'!$E$48:$BJ$48, 'H121'!$E$49:$BJ$49, A15)</f>
        <v>1.434944241556225</v>
      </c>
      <c r="C15">
        <f>[1]!INTERPOLATE('H401'!$E$48:$BH$48, 'H401'!$E$49:$BH$49, A15)</f>
        <v>1.3879774698593519</v>
      </c>
      <c r="D15">
        <f>[1]!INTERPOLATE('H403'!$E$48:$CQ$48, 'H403'!$E$49:$CQ$49, A15)</f>
        <v>1.9167922639701167</v>
      </c>
      <c r="E15">
        <f>[1]!INTERPOLATE('H404'!$E$48:$CC$48, 'H404'!$E$49:$CC$49, A15)</f>
        <v>1.5679611662396078</v>
      </c>
      <c r="F15">
        <f>[1]!INTERPOLATE('H602'!$E$48:$BI$48, 'H602'!$E$49:$BI$49, A15)</f>
        <v>1.7649101122850355</v>
      </c>
      <c r="G15" s="8">
        <f t="shared" si="4"/>
        <v>1.6145170507820672</v>
      </c>
      <c r="H15">
        <f t="shared" si="0"/>
        <v>1.5676090169578352</v>
      </c>
      <c r="I15">
        <f t="shared" si="5"/>
        <v>0.22345156263693156</v>
      </c>
      <c r="J15">
        <f t="shared" si="1"/>
        <v>0.25700898263181449</v>
      </c>
    </row>
    <row r="16" spans="1:20" x14ac:dyDescent="0.25">
      <c r="A16">
        <v>0.28000000000000003</v>
      </c>
      <c r="B16">
        <f>[1]!INTERPOLATE('H121'!$E$48:$BJ$48, 'H121'!$E$49:$BJ$49, A16)</f>
        <v>1.3843558715226432</v>
      </c>
      <c r="C16">
        <f>[1]!INTERPOLATE('H401'!$E$48:$BH$48, 'H401'!$E$49:$BH$49, A16)</f>
        <v>1.3685587354985893</v>
      </c>
      <c r="D16">
        <f>[1]!INTERPOLATE('H403'!$E$48:$CQ$48, 'H403'!$E$49:$CQ$49, A16)</f>
        <v>1.8560687778171401</v>
      </c>
      <c r="E16">
        <f>[1]!INTERPOLATE('H404'!$E$48:$CC$48, 'H404'!$E$49:$CC$49, A16)</f>
        <v>1.5679611662396078</v>
      </c>
      <c r="F16">
        <f>[1]!INTERPOLATE('H602'!$E$48:$BI$48, 'H602'!$E$49:$BI$49, A16)</f>
        <v>1.7349841613176205</v>
      </c>
      <c r="G16" s="8">
        <f t="shared" si="4"/>
        <v>1.5823857424791201</v>
      </c>
      <c r="H16">
        <f t="shared" si="0"/>
        <v>1.5275657851436195</v>
      </c>
      <c r="I16">
        <f t="shared" si="5"/>
        <v>0.21408793074857266</v>
      </c>
      <c r="J16">
        <f t="shared" si="1"/>
        <v>0.2443816358099497</v>
      </c>
    </row>
    <row r="17" spans="1:10" x14ac:dyDescent="0.25">
      <c r="A17">
        <v>0.3</v>
      </c>
      <c r="B17">
        <f>[1]!INTERPOLATE('H121'!$E$48:$BJ$48, 'H121'!$E$49:$BJ$49, A17)</f>
        <v>1.323132930040485</v>
      </c>
      <c r="C17">
        <f>[1]!INTERPOLATE('H401'!$E$48:$BH$48, 'H401'!$E$49:$BH$49, A17)</f>
        <v>1.365186645491107</v>
      </c>
      <c r="D17">
        <f>[1]!INTERPOLATE('H403'!$E$48:$CQ$48, 'H403'!$E$49:$CQ$49, A17)</f>
        <v>1.7964601769911503</v>
      </c>
      <c r="E17">
        <f>[1]!INTERPOLATE('H404'!$E$48:$CC$48, 'H404'!$E$49:$CC$49, A17)</f>
        <v>1.5679611662396078</v>
      </c>
      <c r="F17">
        <f>[1]!INTERPOLATE('H602'!$E$48:$BI$48, 'H602'!$E$49:$BI$49, A17)</f>
        <v>1.6902852118952718</v>
      </c>
      <c r="G17" s="8">
        <f t="shared" si="4"/>
        <v>1.5486052261315244</v>
      </c>
      <c r="H17">
        <f t="shared" si="0"/>
        <v>1.4898544896108987</v>
      </c>
      <c r="I17">
        <f t="shared" si="5"/>
        <v>0.20393631326827305</v>
      </c>
      <c r="J17">
        <f t="shared" si="1"/>
        <v>0.2322736545336555</v>
      </c>
    </row>
    <row r="18" spans="1:10" x14ac:dyDescent="0.25">
      <c r="A18">
        <v>0.32</v>
      </c>
      <c r="B18">
        <f>[1]!INTERPOLATE('H121'!$E$48:$BJ$48, 'H121'!$E$49:$BJ$49, A18)</f>
        <v>1.2159608856649198</v>
      </c>
      <c r="C18">
        <f>[1]!INTERPOLATE('H401'!$E$48:$BH$48, 'H401'!$E$49:$BH$49, A18)</f>
        <v>1.3612068774617714</v>
      </c>
      <c r="D18">
        <f>[1]!INTERPOLATE('H403'!$E$48:$CQ$48, 'H403'!$E$49:$CQ$49, A18)</f>
        <v>1.7964601769911503</v>
      </c>
      <c r="E18">
        <f>[1]!INTERPOLATE('H404'!$E$48:$CC$48, 'H404'!$E$49:$CC$49, A18)</f>
        <v>1.5679611662396078</v>
      </c>
      <c r="F18">
        <f>[1]!INTERPOLATE('H602'!$E$48:$BI$48, 'H602'!$E$49:$BI$49, A18)</f>
        <v>1.6234715086845126</v>
      </c>
      <c r="G18" s="8">
        <f t="shared" si="4"/>
        <v>1.5130121230083924</v>
      </c>
      <c r="H18">
        <f t="shared" si="0"/>
        <v>1.4543393289626683</v>
      </c>
      <c r="I18">
        <f t="shared" si="5"/>
        <v>0.22740258503661648</v>
      </c>
      <c r="J18">
        <f t="shared" si="1"/>
        <v>0.22066367718407959</v>
      </c>
    </row>
    <row r="19" spans="1:10" x14ac:dyDescent="0.25">
      <c r="A19">
        <v>0.34</v>
      </c>
      <c r="B19">
        <f>[1]!INTERPOLATE('H121'!$E$48:$BJ$48, 'H121'!$E$49:$BJ$49, A19)</f>
        <v>1.1757927950569409</v>
      </c>
      <c r="C19">
        <f>[1]!INTERPOLATE('H401'!$E$48:$BH$48, 'H401'!$E$49:$BH$49, A19)</f>
        <v>1.3558918121363253</v>
      </c>
      <c r="D19">
        <f>[1]!INTERPOLATE('H403'!$E$48:$CQ$48, 'H403'!$E$49:$CQ$49, A19)</f>
        <v>1.7577688019171289</v>
      </c>
      <c r="E19">
        <f>[1]!INTERPOLATE('H404'!$E$48:$CC$48, 'H404'!$E$49:$CC$49, A19)</f>
        <v>1.5679611662396078</v>
      </c>
      <c r="F19">
        <f>[1]!INTERPOLATE('H602'!$E$48:$BI$48, 'H602'!$E$49:$BI$49, A19)</f>
        <v>1.5590590329345797</v>
      </c>
      <c r="G19" s="8">
        <f t="shared" si="4"/>
        <v>1.4832947216569166</v>
      </c>
      <c r="H19">
        <f t="shared" si="0"/>
        <v>1.4208924102596174</v>
      </c>
      <c r="I19">
        <f t="shared" si="5"/>
        <v>0.22306590654633363</v>
      </c>
      <c r="J19">
        <f t="shared" si="1"/>
        <v>0.20953122075044017</v>
      </c>
    </row>
    <row r="20" spans="1:10" x14ac:dyDescent="0.25">
      <c r="A20">
        <v>0.36</v>
      </c>
      <c r="B20">
        <f>[1]!INTERPOLATE('H121'!$E$48:$BJ$48, 'H121'!$E$49:$BJ$49, A20)</f>
        <v>1.1720164161775042</v>
      </c>
      <c r="C20">
        <f>[1]!INTERPOLATE('H401'!$E$48:$BH$48, 'H401'!$E$49:$BH$49, A20)</f>
        <v>1.3505767468108794</v>
      </c>
      <c r="D20">
        <f>[1]!INTERPOLATE('H403'!$E$48:$CQ$48, 'H403'!$E$49:$CQ$49, A20)</f>
        <v>1.598425196850394</v>
      </c>
      <c r="E20">
        <f>[1]!INTERPOLATE('H404'!$E$48:$CC$48, 'H404'!$E$49:$CC$49, A20)</f>
        <v>1.5164319259300401</v>
      </c>
      <c r="F20">
        <f>[1]!INTERPOLATE('H602'!$E$48:$BI$48, 'H602'!$E$49:$BI$49, A20)</f>
        <v>1.5056998988006971</v>
      </c>
      <c r="G20" s="8">
        <f t="shared" si="4"/>
        <v>1.4286300369139027</v>
      </c>
      <c r="H20">
        <f t="shared" si="0"/>
        <v>1.3893932884674087</v>
      </c>
      <c r="I20">
        <f t="shared" si="5"/>
        <v>0.16913175197701885</v>
      </c>
      <c r="J20">
        <f t="shared" si="1"/>
        <v>0.1988566446926836</v>
      </c>
    </row>
    <row r="21" spans="1:10" x14ac:dyDescent="0.25">
      <c r="A21">
        <v>0.38</v>
      </c>
      <c r="B21">
        <f>[1]!INTERPOLATE('H121'!$E$48:$BJ$48, 'H121'!$E$49:$BJ$49, A21)</f>
        <v>1.1682400372980675</v>
      </c>
      <c r="C21">
        <f>[1]!INTERPOLATE('H401'!$E$48:$BH$48, 'H401'!$E$49:$BH$49, A21)</f>
        <v>1.3452616814854335</v>
      </c>
      <c r="D21">
        <f>[1]!INTERPOLATE('H403'!$E$48:$CQ$48, 'H403'!$E$49:$CQ$49, A21)</f>
        <v>1.52612981026093</v>
      </c>
      <c r="E21">
        <f>[1]!INTERPOLATE('H404'!$E$48:$CC$48, 'H404'!$E$49:$CC$49, A21)</f>
        <v>1.5164319259300403</v>
      </c>
      <c r="F21">
        <f>[1]!INTERPOLATE('H602'!$E$48:$BI$48, 'H602'!$E$49:$BI$49, A21)</f>
        <v>1.4523407646668145</v>
      </c>
      <c r="G21" s="8">
        <f t="shared" si="4"/>
        <v>1.4016808439282573</v>
      </c>
      <c r="H21">
        <f t="shared" si="0"/>
        <v>1.3597285327244557</v>
      </c>
      <c r="I21">
        <f t="shared" si="5"/>
        <v>0.14908010908735522</v>
      </c>
      <c r="J21">
        <f t="shared" si="1"/>
        <v>0.18862111629047829</v>
      </c>
    </row>
    <row r="22" spans="1:10" x14ac:dyDescent="0.25">
      <c r="A22">
        <v>0.4</v>
      </c>
      <c r="B22">
        <f>[1]!INTERPOLATE('H121'!$E$48:$BJ$48, 'H121'!$E$49:$BJ$49, A22)</f>
        <v>1</v>
      </c>
      <c r="C22">
        <f>[1]!INTERPOLATE('H401'!$E$48:$BH$48, 'H401'!$E$49:$BH$49, A22)</f>
        <v>1.3399466161599876</v>
      </c>
      <c r="D22">
        <f>[1]!INTERPOLATE('H403'!$E$48:$CQ$48, 'H403'!$E$49:$CQ$49, A22)</f>
        <v>1.4614266709858106</v>
      </c>
      <c r="E22">
        <f>[1]!INTERPOLATE('H404'!$E$48:$CC$48, 'H404'!$E$49:$CC$49, A22)</f>
        <v>1.5117339862485761</v>
      </c>
      <c r="F22">
        <f>[1]!INTERPOLATE('H602'!$E$48:$BI$48, 'H602'!$E$49:$BI$49, A22)</f>
        <v>1.400114539357056</v>
      </c>
      <c r="G22" s="8">
        <f t="shared" si="4"/>
        <v>1.3426443625502862</v>
      </c>
      <c r="H22">
        <f t="shared" si="0"/>
        <v>1.3317913178683032</v>
      </c>
      <c r="I22">
        <f t="shared" si="5"/>
        <v>0.20212359825424875</v>
      </c>
      <c r="J22">
        <f t="shared" si="1"/>
        <v>0.17880657741741224</v>
      </c>
    </row>
    <row r="23" spans="1:10" x14ac:dyDescent="0.25">
      <c r="A23">
        <v>0.42</v>
      </c>
      <c r="B23">
        <f>[1]!INTERPOLATE('H121'!$E$48:$BJ$48, 'H121'!$E$49:$BJ$49, A23)</f>
        <v>1</v>
      </c>
      <c r="C23">
        <f>[1]!INTERPOLATE('H401'!$E$48:$BH$48, 'H401'!$E$49:$BH$49, A23)</f>
        <v>1.3346315508345417</v>
      </c>
      <c r="D23">
        <f>[1]!INTERPOLATE('H403'!$E$48:$CQ$48, 'H403'!$E$49:$CQ$49, A23)</f>
        <v>1.460431654676259</v>
      </c>
      <c r="E23">
        <f>[1]!INTERPOLATE('H404'!$E$48:$CC$48, 'H404'!$E$49:$CC$49, A23)</f>
        <v>1.4803700096979544</v>
      </c>
      <c r="F23">
        <f>[1]!INTERPOLATE('H602'!$E$48:$BI$48, 'H602'!$E$49:$BI$49, A23)</f>
        <v>1.3536952828930557</v>
      </c>
      <c r="G23" s="8">
        <f t="shared" si="4"/>
        <v>1.3258256996203621</v>
      </c>
      <c r="H23">
        <f t="shared" si="0"/>
        <v>1.3054810397496555</v>
      </c>
      <c r="I23">
        <f t="shared" si="5"/>
        <v>0.19301512255155592</v>
      </c>
      <c r="J23">
        <f t="shared" si="1"/>
        <v>0.16939571268177528</v>
      </c>
    </row>
    <row r="24" spans="1:10" x14ac:dyDescent="0.25">
      <c r="A24">
        <v>0.44</v>
      </c>
      <c r="B24">
        <f>[1]!INTERPOLATE('H121'!$E$48:$BJ$48, 'H121'!$E$49:$BJ$49, A24)</f>
        <v>1</v>
      </c>
      <c r="C24">
        <f>[1]!INTERPOLATE('H401'!$E$48:$BH$48, 'H401'!$E$49:$BH$49, A24)</f>
        <v>1.3293164855090955</v>
      </c>
      <c r="D24">
        <f>[1]!INTERPOLATE('H403'!$E$48:$CQ$48, 'H403'!$E$49:$CQ$49, A24)</f>
        <v>1.3293578391184901</v>
      </c>
      <c r="E24">
        <f>[1]!INTERPOLATE('H404'!$E$48:$CC$48, 'H404'!$E$49:$CC$49, A24)</f>
        <v>1.4490060331473331</v>
      </c>
      <c r="F24">
        <f>[1]!INTERPOLATE('H602'!$E$48:$BI$48, 'H602'!$E$49:$BI$49, A24)</f>
        <v>1.3072760264290553</v>
      </c>
      <c r="G24" s="8">
        <f t="shared" si="4"/>
        <v>1.2829912768407949</v>
      </c>
      <c r="H24">
        <f t="shared" si="0"/>
        <v>1.2807029529487755</v>
      </c>
      <c r="I24">
        <f t="shared" si="5"/>
        <v>0.16772790033092219</v>
      </c>
      <c r="J24">
        <f t="shared" si="1"/>
        <v>0.16037191887771773</v>
      </c>
    </row>
    <row r="25" spans="1:10" x14ac:dyDescent="0.25">
      <c r="A25">
        <v>0.46</v>
      </c>
      <c r="B25">
        <f>[1]!INTERPOLATE('H121'!$E$48:$BJ$48, 'H121'!$E$49:$BJ$49, A25)</f>
        <v>1</v>
      </c>
      <c r="C25">
        <f>[1]!INTERPOLATE('H401'!$E$48:$BH$48, 'H401'!$E$49:$BH$49, A25)</f>
        <v>1.267366623839199</v>
      </c>
      <c r="D25">
        <f>[1]!INTERPOLATE('H403'!$E$48:$CQ$48, 'H403'!$E$49:$CQ$49, A25)</f>
        <v>1.3213081918929219</v>
      </c>
      <c r="E25">
        <f>[1]!INTERPOLATE('H404'!$E$48:$CC$48, 'H404'!$E$49:$CC$49, A25)</f>
        <v>1.4176420565967116</v>
      </c>
      <c r="F25">
        <f>[1]!INTERPOLATE('H602'!$E$48:$BI$48, 'H602'!$E$49:$BI$49, A25)</f>
        <v>1.2747203470771222</v>
      </c>
      <c r="G25" s="8">
        <f t="shared" si="4"/>
        <v>1.256207443881191</v>
      </c>
      <c r="H25">
        <f t="shared" si="0"/>
        <v>1.2573678295896347</v>
      </c>
      <c r="I25">
        <f t="shared" si="5"/>
        <v>0.15524879287494237</v>
      </c>
      <c r="J25">
        <f t="shared" si="1"/>
        <v>0.15171927569288973</v>
      </c>
    </row>
    <row r="26" spans="1:10" x14ac:dyDescent="0.25">
      <c r="A26">
        <v>0.48</v>
      </c>
      <c r="B26">
        <f>[1]!INTERPOLATE('H121'!$E$48:$BJ$48, 'H121'!$E$49:$BJ$49, A26)</f>
        <v>1</v>
      </c>
      <c r="C26">
        <f>[1]!INTERPOLATE('H401'!$E$48:$BH$48, 'H401'!$E$49:$BH$49, A26)</f>
        <v>1.1636969536338899</v>
      </c>
      <c r="D26">
        <f>[1]!INTERPOLATE('H403'!$E$48:$CQ$48, 'H403'!$E$49:$CQ$49, A26)</f>
        <v>1.2916870254966504</v>
      </c>
      <c r="E26">
        <f>[1]!INTERPOLATE('H404'!$E$48:$CC$48, 'H404'!$E$49:$CC$49, A26)</f>
        <v>1.4104803501193341</v>
      </c>
      <c r="F26">
        <f>[1]!INTERPOLATE('H602'!$E$48:$BI$48, 'H602'!$E$49:$BI$49, A26)</f>
        <v>1.2449301224064406</v>
      </c>
      <c r="G26" s="8">
        <f t="shared" si="4"/>
        <v>1.222158890331263</v>
      </c>
      <c r="H26">
        <f t="shared" si="0"/>
        <v>1.2353916380231826</v>
      </c>
      <c r="I26">
        <f t="shared" si="5"/>
        <v>0.15296244097991216</v>
      </c>
      <c r="J26">
        <f t="shared" si="1"/>
        <v>0.14342251762088171</v>
      </c>
    </row>
    <row r="27" spans="1:10" x14ac:dyDescent="0.25">
      <c r="A27">
        <v>0.5</v>
      </c>
      <c r="B27">
        <f>[1]!INTERPOLATE('H121'!$E$48:$BJ$48, 'H121'!$E$49:$BJ$49, A27)</f>
        <v>1</v>
      </c>
      <c r="C27">
        <f>[1]!INTERPOLATE('H401'!$E$48:$BH$48, 'H401'!$E$49:$BH$49, A27)</f>
        <v>1.1570965046412582</v>
      </c>
      <c r="D27">
        <f>[1]!INTERPOLATE('H403'!$E$48:$CQ$48, 'H403'!$E$49:$CQ$49, A27)</f>
        <v>1.2620658591003791</v>
      </c>
      <c r="E27">
        <f>[1]!INTERPOLATE('H404'!$E$48:$CC$48, 'H404'!$E$49:$CC$49, A27)</f>
        <v>1.4104803501193344</v>
      </c>
      <c r="F27">
        <f>[1]!INTERPOLATE('H602'!$E$48:$BI$48, 'H602'!$E$49:$BI$49, A27)</f>
        <v>1.2151398977357593</v>
      </c>
      <c r="G27" s="8">
        <f t="shared" ref="G27:G62" si="6">AVERAGE(B27:F27)</f>
        <v>1.2089565223193461</v>
      </c>
      <c r="H27">
        <f t="shared" si="0"/>
        <v>1.2146952402226447</v>
      </c>
      <c r="I27">
        <f t="shared" ref="I27:I62" si="7">_xlfn.STDEV.S(B27:F27)</f>
        <v>0.14985240956470064</v>
      </c>
      <c r="J27">
        <f t="shared" si="1"/>
        <v>0.13546700702891235</v>
      </c>
    </row>
    <row r="28" spans="1:10" x14ac:dyDescent="0.25">
      <c r="A28">
        <v>0.52</v>
      </c>
      <c r="B28">
        <f>[1]!INTERPOLATE('H121'!$E$48:$BJ$48, 'H121'!$E$49:$BJ$49, A28)</f>
        <v>1</v>
      </c>
      <c r="C28">
        <f>[1]!INTERPOLATE('H401'!$E$48:$BH$48, 'H401'!$E$49:$BH$49, A28)</f>
        <v>1.1436445554704711</v>
      </c>
      <c r="D28">
        <f>[1]!INTERPOLATE('H403'!$E$48:$CQ$48, 'H403'!$E$49:$CQ$49, A28)</f>
        <v>1.2340425531914894</v>
      </c>
      <c r="E28">
        <f>[1]!INTERPOLATE('H404'!$E$48:$CC$48, 'H404'!$E$49:$CC$49, A28)</f>
        <v>1.4104803501193341</v>
      </c>
      <c r="F28">
        <f>[1]!INTERPOLATE('H602'!$E$48:$BI$48, 'H602'!$E$49:$BI$49, A28)</f>
        <v>1.1921824104234529</v>
      </c>
      <c r="G28" s="8">
        <f t="shared" si="6"/>
        <v>1.1960699738409495</v>
      </c>
      <c r="H28">
        <f t="shared" si="0"/>
        <v>1.195204106801147</v>
      </c>
      <c r="I28">
        <f t="shared" si="7"/>
        <v>0.14884614415648037</v>
      </c>
      <c r="J28">
        <f t="shared" si="1"/>
        <v>0.12783870833324862</v>
      </c>
    </row>
    <row r="29" spans="1:10" x14ac:dyDescent="0.25">
      <c r="A29">
        <v>0.54</v>
      </c>
      <c r="B29">
        <f>[1]!INTERPOLATE('H121'!$E$48:$BJ$48, 'H121'!$E$49:$BJ$49, A29)</f>
        <v>1</v>
      </c>
      <c r="C29">
        <f>[1]!INTERPOLATE('H401'!$E$48:$BH$48, 'H401'!$E$49:$BH$49, A29)</f>
        <v>1.108703713272166</v>
      </c>
      <c r="D29">
        <f>[1]!INTERPOLATE('H403'!$E$48:$CQ$48, 'H403'!$E$49:$CQ$49, A29)</f>
        <v>1.1806620301560378</v>
      </c>
      <c r="E29">
        <f>[1]!INTERPOLATE('H404'!$E$48:$CC$48, 'H404'!$E$49:$CC$49, A29)</f>
        <v>1.3509499683536812</v>
      </c>
      <c r="F29">
        <f>[1]!INTERPOLATE('H602'!$E$48:$BI$48, 'H602'!$E$49:$BI$49, A29)</f>
        <v>1.1675324660236761</v>
      </c>
      <c r="G29" s="8">
        <f t="shared" si="6"/>
        <v>1.161569635561112</v>
      </c>
      <c r="H29">
        <f t="shared" si="0"/>
        <v>1.176848048625422</v>
      </c>
      <c r="I29">
        <f t="shared" si="7"/>
        <v>0.12763672884590208</v>
      </c>
      <c r="J29">
        <f t="shared" si="1"/>
        <v>0.12052416323679617</v>
      </c>
    </row>
    <row r="30" spans="1:10" x14ac:dyDescent="0.25">
      <c r="A30">
        <v>0.56000000000000005</v>
      </c>
      <c r="B30">
        <f>[1]!INTERPOLATE('H121'!$E$48:$BJ$48, 'H121'!$E$49:$BJ$49, A30)</f>
        <v>1</v>
      </c>
      <c r="C30">
        <f>[1]!INTERPOLATE('H401'!$E$48:$BH$48, 'H401'!$E$49:$BH$49, A30)</f>
        <v>1.0838926174496644</v>
      </c>
      <c r="D30">
        <f>[1]!INTERPOLATE('H403'!$E$48:$CQ$48, 'H403'!$E$49:$CQ$49, A30)</f>
        <v>1.1468926553672316</v>
      </c>
      <c r="E30">
        <f>[1]!INTERPOLATE('H404'!$E$48:$CC$48, 'H404'!$E$49:$CC$49, A30)</f>
        <v>1.2716535437691117</v>
      </c>
      <c r="F30">
        <f>[1]!INTERPOLATE('H602'!$E$48:$BI$48, 'H602'!$E$49:$BI$49, A30)</f>
        <v>1.1408495534714178</v>
      </c>
      <c r="G30" s="8">
        <f t="shared" si="6"/>
        <v>1.1286576740114849</v>
      </c>
      <c r="H30">
        <f t="shared" si="0"/>
        <v>1.1595609640591149</v>
      </c>
      <c r="I30">
        <f t="shared" si="7"/>
        <v>9.9355023285914723E-2</v>
      </c>
      <c r="J30">
        <f t="shared" si="1"/>
        <v>0.11351046698517329</v>
      </c>
    </row>
    <row r="31" spans="1:10" x14ac:dyDescent="0.25">
      <c r="A31">
        <v>0.57999999999999996</v>
      </c>
      <c r="B31">
        <f>[1]!INTERPOLATE('H121'!$E$48:$BJ$48, 'H121'!$E$49:$BJ$49, A31)</f>
        <v>1</v>
      </c>
      <c r="C31">
        <f>[1]!INTERPOLATE('H401'!$E$48:$BH$48, 'H401'!$E$49:$BH$49, A31)</f>
        <v>1.0415798598108916</v>
      </c>
      <c r="D31">
        <f>[1]!INTERPOLATE('H403'!$E$48:$CQ$48, 'H403'!$E$49:$CQ$49, A31)</f>
        <v>1.1270499227933728</v>
      </c>
      <c r="E31">
        <f>[1]!INTERPOLATE('H404'!$E$48:$CC$48, 'H404'!$E$49:$CC$49, A31)</f>
        <v>1.2716535437691117</v>
      </c>
      <c r="F31">
        <f>[1]!INTERPOLATE('H602'!$E$48:$BI$48, 'H602'!$E$49:$BI$49, A31)</f>
        <v>1.11416664091916</v>
      </c>
      <c r="G31" s="8">
        <f t="shared" si="6"/>
        <v>1.1108899934585073</v>
      </c>
      <c r="H31">
        <f t="shared" si="0"/>
        <v>1.1432806009254954</v>
      </c>
      <c r="I31">
        <f t="shared" si="7"/>
        <v>0.10394383593873857</v>
      </c>
      <c r="J31">
        <f t="shared" si="1"/>
        <v>0.10678524559937762</v>
      </c>
    </row>
    <row r="32" spans="1:10" x14ac:dyDescent="0.25">
      <c r="A32">
        <v>0.6</v>
      </c>
      <c r="B32">
        <f>[1]!INTERPOLATE('H121'!$E$48:$BJ$48, 'H121'!$E$49:$BJ$49, A32)</f>
        <v>1</v>
      </c>
      <c r="C32">
        <f>[1]!INTERPOLATE('H401'!$E$48:$BH$48, 'H401'!$E$49:$BH$49, A32)</f>
        <v>1.0147441909123707</v>
      </c>
      <c r="D32">
        <f>[1]!INTERPOLATE('H403'!$E$48:$CQ$48, 'H403'!$E$49:$CQ$49, A32)</f>
        <v>1.08620790940823</v>
      </c>
      <c r="E32">
        <f>[1]!INTERPOLATE('H404'!$E$48:$CC$48, 'H404'!$E$49:$CC$49, A32)</f>
        <v>1.247920546363765</v>
      </c>
      <c r="F32">
        <f>[1]!INTERPOLATE('H602'!$E$48:$BI$48, 'H602'!$E$49:$BI$49, A32)</f>
        <v>1.0925373134328358</v>
      </c>
      <c r="G32" s="8">
        <f t="shared" si="6"/>
        <v>1.0882819920234403</v>
      </c>
      <c r="H32">
        <f t="shared" si="0"/>
        <v>1.1279483323323798</v>
      </c>
      <c r="I32">
        <f t="shared" si="7"/>
        <v>9.8372246999266513E-2</v>
      </c>
      <c r="J32">
        <f t="shared" si="1"/>
        <v>0.10033663404487832</v>
      </c>
    </row>
    <row r="33" spans="1:10" x14ac:dyDescent="0.25">
      <c r="A33">
        <v>0.62</v>
      </c>
      <c r="B33">
        <f>[1]!INTERPOLATE('H121'!$E$48:$BJ$48, 'H121'!$E$49:$BJ$49, A33)</f>
        <v>1</v>
      </c>
      <c r="C33">
        <f>[1]!INTERPOLATE('H401'!$E$48:$BH$48, 'H401'!$E$49:$BH$49, A33)</f>
        <v>1</v>
      </c>
      <c r="D33">
        <f>[1]!INTERPOLATE('H403'!$E$48:$CQ$48, 'H403'!$E$49:$CQ$49, A33)</f>
        <v>1.069668900966354</v>
      </c>
      <c r="E33">
        <f>[1]!INTERPOLATE('H404'!$E$48:$CC$48, 'H404'!$E$49:$CC$49, A33)</f>
        <v>1.2082739598512287</v>
      </c>
      <c r="F33">
        <f>[1]!INTERPOLATE('H602'!$E$48:$BI$48, 'H602'!$E$49:$BI$49, A33)</f>
        <v>1.072469309166314</v>
      </c>
      <c r="G33" s="8">
        <f t="shared" si="6"/>
        <v>1.0700824339967794</v>
      </c>
      <c r="H33">
        <f t="shared" si="0"/>
        <v>1.113508945551996</v>
      </c>
      <c r="I33">
        <f t="shared" si="7"/>
        <v>8.5038022540580335E-2</v>
      </c>
      <c r="J33">
        <f t="shared" si="1"/>
        <v>9.4153255298618357E-2</v>
      </c>
    </row>
    <row r="34" spans="1:10" x14ac:dyDescent="0.25">
      <c r="A34">
        <v>0.64</v>
      </c>
      <c r="B34">
        <f>[1]!INTERPOLATE('H121'!$E$48:$BJ$48, 'H121'!$E$49:$BJ$49, A34)</f>
        <v>1</v>
      </c>
      <c r="C34">
        <f>[1]!INTERPOLATE('H401'!$E$48:$BH$48, 'H401'!$E$49:$BH$49, A34)</f>
        <v>1</v>
      </c>
      <c r="D34">
        <f>[1]!INTERPOLATE('H403'!$E$48:$CQ$48, 'H403'!$E$49:$CQ$49, A34)</f>
        <v>1.0408986570739098</v>
      </c>
      <c r="E34">
        <f>[1]!INTERPOLATE('H404'!$E$48:$CC$48, 'H404'!$E$49:$CC$49, A34)</f>
        <v>1.1901258445073541</v>
      </c>
      <c r="F34">
        <f>[1]!INTERPOLATE('H602'!$E$48:$BI$48, 'H602'!$E$49:$BI$49, A34)</f>
        <v>1.0512751119921726</v>
      </c>
      <c r="G34" s="8">
        <f t="shared" si="6"/>
        <v>1.0564599227146874</v>
      </c>
      <c r="H34">
        <f t="shared" si="0"/>
        <v>1.0999104431955251</v>
      </c>
      <c r="I34">
        <f t="shared" si="7"/>
        <v>7.8280041589717173E-2</v>
      </c>
      <c r="J34">
        <f t="shared" si="1"/>
        <v>8.8224200276995526E-2</v>
      </c>
    </row>
    <row r="35" spans="1:10" x14ac:dyDescent="0.25">
      <c r="A35">
        <v>0.66</v>
      </c>
      <c r="B35">
        <f>[1]!INTERPOLATE('H121'!$E$48:$BJ$48, 'H121'!$E$49:$BJ$49, A35)</f>
        <v>1</v>
      </c>
      <c r="C35">
        <f>[1]!INTERPOLATE('H401'!$E$48:$BH$48, 'H401'!$E$49:$BH$49, A35)</f>
        <v>1</v>
      </c>
      <c r="D35">
        <f>[1]!INTERPOLATE('H403'!$E$48:$CQ$48, 'H403'!$E$49:$CQ$49, A35)</f>
        <v>1.036328145841974</v>
      </c>
      <c r="E35">
        <f>[1]!INTERPOLATE('H404'!$E$48:$CC$48, 'H404'!$E$49:$CC$49, A35)</f>
        <v>1.1719777291634796</v>
      </c>
      <c r="F35">
        <f>[1]!INTERPOLATE('H602'!$E$48:$BI$48, 'H602'!$E$49:$BI$49, A35)</f>
        <v>1.0431635033597302</v>
      </c>
      <c r="G35" s="8">
        <f t="shared" si="6"/>
        <v>1.0502938756730369</v>
      </c>
      <c r="H35">
        <f t="shared" si="0"/>
        <v>1.0871038559663393</v>
      </c>
      <c r="I35">
        <f t="shared" si="7"/>
        <v>7.0908024721737128E-2</v>
      </c>
      <c r="J35">
        <f t="shared" si="1"/>
        <v>8.2539008589409865E-2</v>
      </c>
    </row>
    <row r="36" spans="1:10" x14ac:dyDescent="0.25">
      <c r="A36">
        <v>0.68</v>
      </c>
      <c r="B36">
        <f>[1]!INTERPOLATE('H121'!$E$48:$BJ$48, 'H121'!$E$49:$BJ$49, A36)</f>
        <v>1</v>
      </c>
      <c r="C36">
        <f>[1]!INTERPOLATE('H401'!$E$48:$BH$48, 'H401'!$E$49:$BH$49, A36)</f>
        <v>1</v>
      </c>
      <c r="D36">
        <f>[1]!INTERPOLATE('H403'!$E$48:$CQ$48, 'H403'!$E$49:$CQ$49, A36)</f>
        <v>1.0252525252525253</v>
      </c>
      <c r="E36">
        <f>[1]!INTERPOLATE('H404'!$E$48:$CC$48, 'H404'!$E$49:$CC$49, A36)</f>
        <v>1.1550968970669666</v>
      </c>
      <c r="F36">
        <f>[1]!INTERPOLATE('H602'!$E$48:$BI$48, 'H602'!$E$49:$BI$49, A36)</f>
        <v>1.0345439904249998</v>
      </c>
      <c r="G36" s="8">
        <f t="shared" si="6"/>
        <v>1.0429786825488985</v>
      </c>
      <c r="H36">
        <f t="shared" si="0"/>
        <v>1.0750430663176389</v>
      </c>
      <c r="I36">
        <f t="shared" si="7"/>
        <v>6.4517805716170801E-2</v>
      </c>
      <c r="J36">
        <f t="shared" si="1"/>
        <v>7.7087650083422068E-2</v>
      </c>
    </row>
    <row r="37" spans="1:10" x14ac:dyDescent="0.25">
      <c r="A37">
        <v>0.7</v>
      </c>
      <c r="B37">
        <f>[1]!INTERPOLATE('H121'!$E$48:$BJ$48, 'H121'!$E$49:$BJ$49, A37)</f>
        <v>1</v>
      </c>
      <c r="C37">
        <f>[1]!INTERPOLATE('H401'!$E$48:$BH$48, 'H401'!$E$49:$BH$49, A37)</f>
        <v>1</v>
      </c>
      <c r="D37">
        <f>[1]!INTERPOLATE('H403'!$E$48:$CQ$48, 'H403'!$E$49:$CQ$49, A37)</f>
        <v>1.0252525252525253</v>
      </c>
      <c r="E37">
        <f>[1]!INTERPOLATE('H404'!$E$48:$CC$48, 'H404'!$E$49:$CC$49, A37)</f>
        <v>1.1286426684401394</v>
      </c>
      <c r="F37">
        <f>[1]!INTERPOLATE('H602'!$E$48:$BI$48, 'H602'!$E$49:$BI$49, A37)</f>
        <v>1.0259244774902694</v>
      </c>
      <c r="G37" s="8">
        <f t="shared" si="6"/>
        <v>1.0359639342365867</v>
      </c>
      <c r="H37">
        <f t="shared" si="0"/>
        <v>1.063684642379473</v>
      </c>
      <c r="I37">
        <f t="shared" si="7"/>
        <v>5.3365911121484755E-2</v>
      </c>
      <c r="J37">
        <f t="shared" si="1"/>
        <v>7.1860507148963637E-2</v>
      </c>
    </row>
    <row r="38" spans="1:10" x14ac:dyDescent="0.25">
      <c r="A38">
        <v>0.72</v>
      </c>
      <c r="B38">
        <f>[1]!INTERPOLATE('H121'!$E$48:$BJ$48, 'H121'!$E$49:$BJ$49, A38)</f>
        <v>1</v>
      </c>
      <c r="C38">
        <f>[1]!INTERPOLATE('H401'!$E$48:$BH$48, 'H401'!$E$49:$BH$49, A38)</f>
        <v>1</v>
      </c>
      <c r="D38">
        <f>[1]!INTERPOLATE('H403'!$E$48:$CQ$48, 'H403'!$E$49:$CQ$49, A38)</f>
        <v>1.0013475043236364</v>
      </c>
      <c r="E38">
        <f>[1]!INTERPOLATE('H404'!$E$48:$CC$48, 'H404'!$E$49:$CC$49, A38)</f>
        <v>1.1184025792553181</v>
      </c>
      <c r="F38">
        <f>[1]!INTERPOLATE('H602'!$E$48:$BI$48, 'H602'!$E$49:$BI$49, A38)</f>
        <v>1.0179783569978254</v>
      </c>
      <c r="G38" s="8">
        <f t="shared" si="6"/>
        <v>1.027545688115356</v>
      </c>
      <c r="H38">
        <f t="shared" si="0"/>
        <v>1.0529876815570938</v>
      </c>
      <c r="I38">
        <f t="shared" si="7"/>
        <v>5.1357529131114348E-2</v>
      </c>
      <c r="J38">
        <f t="shared" si="1"/>
        <v>6.6848357750378451E-2</v>
      </c>
    </row>
    <row r="39" spans="1:10" x14ac:dyDescent="0.25">
      <c r="A39">
        <v>0.74</v>
      </c>
      <c r="B39">
        <f>[1]!INTERPOLATE('H121'!$E$48:$BJ$48, 'H121'!$E$49:$BJ$49, A39)</f>
        <v>1</v>
      </c>
      <c r="C39">
        <f>[1]!INTERPOLATE('H401'!$E$48:$BH$48, 'H401'!$E$49:$BH$49, A39)</f>
        <v>1</v>
      </c>
      <c r="D39">
        <f>[1]!INTERPOLATE('H403'!$E$48:$CQ$48, 'H403'!$E$49:$CQ$49, A39)</f>
        <v>1</v>
      </c>
      <c r="E39">
        <f>[1]!INTERPOLATE('H404'!$E$48:$CC$48, 'H404'!$E$49:$CC$49, A39)</f>
        <v>1.1103993635966458</v>
      </c>
      <c r="F39">
        <f>[1]!INTERPOLATE('H602'!$E$48:$BI$48, 'H602'!$E$49:$BI$49, A39)</f>
        <v>1.0040015176059471</v>
      </c>
      <c r="G39" s="8">
        <f t="shared" si="6"/>
        <v>1.0228801762405184</v>
      </c>
      <c r="H39">
        <f t="shared" si="0"/>
        <v>1.0429136632374369</v>
      </c>
      <c r="I39">
        <f t="shared" si="7"/>
        <v>4.8955386071680491E-2</v>
      </c>
      <c r="J39">
        <f t="shared" si="1"/>
        <v>6.2042359156360555E-2</v>
      </c>
    </row>
    <row r="40" spans="1:10" x14ac:dyDescent="0.25">
      <c r="A40">
        <v>0.76</v>
      </c>
      <c r="B40">
        <f>[1]!INTERPOLATE('H121'!$E$48:$BJ$48, 'H121'!$E$49:$BJ$49, A40)</f>
        <v>1</v>
      </c>
      <c r="C40">
        <f>[1]!INTERPOLATE('H401'!$E$48:$BH$48, 'H401'!$E$49:$BH$49, A40)</f>
        <v>1</v>
      </c>
      <c r="D40">
        <f>[1]!INTERPOLATE('H403'!$E$48:$CQ$48, 'H403'!$E$49:$CQ$49, A40)</f>
        <v>1</v>
      </c>
      <c r="E40">
        <f>[1]!INTERPOLATE('H404'!$E$48:$CC$48, 'H404'!$E$49:$CC$49, A40)</f>
        <v>1.1061643837187092</v>
      </c>
      <c r="F40">
        <f>[1]!INTERPOLATE('H602'!$E$48:$BI$48, 'H602'!$E$49:$BI$49, A40)</f>
        <v>1</v>
      </c>
      <c r="G40" s="8">
        <f t="shared" si="6"/>
        <v>1.0212328767437417</v>
      </c>
      <c r="H40">
        <f t="shared" si="0"/>
        <v>1.0334263100733061</v>
      </c>
      <c r="I40">
        <f t="shared" si="7"/>
        <v>4.7478155756881121E-2</v>
      </c>
      <c r="J40">
        <f t="shared" si="1"/>
        <v>5.7434032339082938E-2</v>
      </c>
    </row>
    <row r="41" spans="1:10" x14ac:dyDescent="0.25">
      <c r="A41">
        <v>0.78</v>
      </c>
      <c r="B41">
        <f>[1]!INTERPOLATE('H121'!$E$48:$BJ$48, 'H121'!$E$49:$BJ$49, A41)</f>
        <v>1</v>
      </c>
      <c r="C41">
        <f>[1]!INTERPOLATE('H401'!$E$48:$BH$48, 'H401'!$E$49:$BH$49, A41)</f>
        <v>1</v>
      </c>
      <c r="D41">
        <f>[1]!INTERPOLATE('H403'!$E$48:$CQ$48, 'H403'!$E$49:$CQ$49, A41)</f>
        <v>1</v>
      </c>
      <c r="E41">
        <f>[1]!INTERPOLATE('H404'!$E$48:$CC$48, 'H404'!$E$49:$CC$49, A41)</f>
        <v>1.1061643837187092</v>
      </c>
      <c r="F41">
        <f>[1]!INTERPOLATE('H602'!$E$48:$BI$48, 'H602'!$E$49:$BI$49, A41)</f>
        <v>1</v>
      </c>
      <c r="G41" s="8">
        <f t="shared" si="6"/>
        <v>1.0212328767437417</v>
      </c>
      <c r="H41">
        <f t="shared" si="0"/>
        <v>1.0244914573457395</v>
      </c>
      <c r="I41">
        <f t="shared" si="7"/>
        <v>4.7478155756881121E-2</v>
      </c>
      <c r="J41">
        <f t="shared" si="1"/>
        <v>5.3015247014993674E-2</v>
      </c>
    </row>
    <row r="42" spans="1:10" x14ac:dyDescent="0.25">
      <c r="A42">
        <v>0.8</v>
      </c>
      <c r="B42">
        <f>[1]!INTERPOLATE('H121'!$E$48:$BJ$48, 'H121'!$E$49:$BJ$49, A42)</f>
        <v>1</v>
      </c>
      <c r="C42">
        <f>[1]!INTERPOLATE('H401'!$E$48:$BH$48, 'H401'!$E$49:$BH$49, A42)</f>
        <v>1</v>
      </c>
      <c r="D42">
        <f>[1]!INTERPOLATE('H403'!$E$48:$CQ$48, 'H403'!$E$49:$CQ$49, A42)</f>
        <v>1</v>
      </c>
      <c r="E42">
        <f>[1]!INTERPOLATE('H404'!$E$48:$CC$48, 'H404'!$E$49:$CC$49, A42)</f>
        <v>1.1061643837187092</v>
      </c>
      <c r="F42">
        <f>[1]!INTERPOLATE('H602'!$E$48:$BI$48, 'H602'!$E$49:$BI$49, A42)</f>
        <v>1</v>
      </c>
      <c r="G42" s="8">
        <f t="shared" si="6"/>
        <v>1.0212328767437417</v>
      </c>
      <c r="H42">
        <f t="shared" si="0"/>
        <v>1.0160769299341188</v>
      </c>
      <c r="I42">
        <f t="shared" si="7"/>
        <v>4.7478155756881121E-2</v>
      </c>
      <c r="J42">
        <f t="shared" si="1"/>
        <v>4.8778207300887277E-2</v>
      </c>
    </row>
    <row r="43" spans="1:10" x14ac:dyDescent="0.25">
      <c r="A43">
        <v>0.82</v>
      </c>
      <c r="B43">
        <f>[1]!INTERPOLATE('H121'!$E$48:$BJ$48, 'H121'!$E$49:$BJ$49, A43)</f>
        <v>1</v>
      </c>
      <c r="C43">
        <f>[1]!INTERPOLATE('H401'!$E$48:$BH$48, 'H401'!$E$49:$BH$49, A43)</f>
        <v>1</v>
      </c>
      <c r="D43">
        <f>[1]!INTERPOLATE('H403'!$E$48:$CQ$48, 'H403'!$E$49:$CQ$49, A43)</f>
        <v>1</v>
      </c>
      <c r="E43">
        <f>[1]!INTERPOLATE('H404'!$E$48:$CC$48, 'H404'!$E$49:$CC$49, A43)</f>
        <v>1.1061643837187092</v>
      </c>
      <c r="F43">
        <f>[1]!INTERPOLATE('H602'!$E$48:$BI$48, 'H602'!$E$49:$BI$49, A43)</f>
        <v>1</v>
      </c>
      <c r="G43" s="8">
        <f t="shared" si="6"/>
        <v>1.0212328767437417</v>
      </c>
      <c r="H43">
        <f t="shared" si="0"/>
        <v>1.0081524264509818</v>
      </c>
      <c r="I43">
        <f t="shared" si="7"/>
        <v>4.7478155756881121E-2</v>
      </c>
      <c r="J43">
        <f t="shared" si="1"/>
        <v>4.4715437959945176E-2</v>
      </c>
    </row>
    <row r="44" spans="1:10" x14ac:dyDescent="0.25">
      <c r="A44">
        <v>0.84</v>
      </c>
      <c r="B44">
        <f>[1]!INTERPOLATE('H121'!$E$48:$BJ$48, 'H121'!$E$49:$BJ$49, A44)</f>
        <v>1</v>
      </c>
      <c r="C44">
        <f>[1]!INTERPOLATE('H401'!$E$48:$BH$48, 'H401'!$E$49:$BH$49, A44)</f>
        <v>1</v>
      </c>
      <c r="D44">
        <f>[1]!INTERPOLATE('H403'!$E$48:$CQ$48, 'H403'!$E$49:$CQ$49, A44)</f>
        <v>1</v>
      </c>
      <c r="E44">
        <f>[1]!INTERPOLATE('H404'!$E$48:$CC$48, 'H404'!$E$49:$CC$49, A44)</f>
        <v>1.1061643837187092</v>
      </c>
      <c r="F44">
        <f>[1]!INTERPOLATE('H602'!$E$48:$BI$48, 'H602'!$E$49:$BI$49, A44)</f>
        <v>1</v>
      </c>
      <c r="G44" s="8">
        <f t="shared" si="6"/>
        <v>1.0212328767437417</v>
      </c>
      <c r="H44">
        <f t="shared" si="0"/>
        <v>1.0006894101242987</v>
      </c>
      <c r="I44">
        <f t="shared" si="7"/>
        <v>4.7478155756881121E-2</v>
      </c>
      <c r="J44">
        <f t="shared" si="1"/>
        <v>4.0819771213479406E-2</v>
      </c>
    </row>
    <row r="45" spans="1:10" x14ac:dyDescent="0.25">
      <c r="A45">
        <v>0.86</v>
      </c>
      <c r="B45">
        <f>[1]!INTERPOLATE('H121'!$E$48:$BJ$48, 'H121'!$E$49:$BJ$49, A45)</f>
        <v>1</v>
      </c>
      <c r="C45">
        <f>[1]!INTERPOLATE('H401'!$E$48:$BH$48, 'H401'!$E$49:$BH$49, A45)</f>
        <v>1</v>
      </c>
      <c r="D45">
        <f>[1]!INTERPOLATE('H403'!$E$48:$CQ$48, 'H403'!$E$49:$CQ$49, A45)</f>
        <v>1</v>
      </c>
      <c r="E45">
        <f>[1]!INTERPOLATE('H404'!$E$48:$CC$48, 'H404'!$E$49:$CC$49, A45)</f>
        <v>1.1061643837187092</v>
      </c>
      <c r="F45">
        <f>[1]!INTERPOLATE('H602'!$E$48:$BI$48, 'H602'!$E$49:$BI$49, A45)</f>
        <v>1</v>
      </c>
      <c r="G45" s="8">
        <f t="shared" si="6"/>
        <v>1.0212328767437417</v>
      </c>
      <c r="H45">
        <f t="shared" si="0"/>
        <v>1</v>
      </c>
      <c r="I45">
        <f t="shared" si="7"/>
        <v>4.7478155756881121E-2</v>
      </c>
      <c r="J45">
        <f t="shared" si="1"/>
        <v>3.7084334095112248E-2</v>
      </c>
    </row>
    <row r="46" spans="1:10" x14ac:dyDescent="0.25">
      <c r="A46">
        <v>0.88</v>
      </c>
      <c r="B46">
        <f>[1]!INTERPOLATE('H121'!$E$48:$BJ$48, 'H121'!$E$49:$BJ$49, A46)</f>
        <v>1</v>
      </c>
      <c r="C46">
        <f>[1]!INTERPOLATE('H401'!$E$48:$BH$48, 'H401'!$E$49:$BH$49, A46)</f>
        <v>1</v>
      </c>
      <c r="D46">
        <f>[1]!INTERPOLATE('H403'!$E$48:$CQ$48, 'H403'!$E$49:$CQ$49, A46)</f>
        <v>1</v>
      </c>
      <c r="E46">
        <f>[1]!INTERPOLATE('H404'!$E$48:$CC$48, 'H404'!$E$49:$CC$49, A46)</f>
        <v>1.1061643837187092</v>
      </c>
      <c r="F46">
        <f>[1]!INTERPOLATE('H602'!$E$48:$BI$48, 'H602'!$E$49:$BI$49, A46)</f>
        <v>1</v>
      </c>
      <c r="G46" s="8">
        <f t="shared" si="6"/>
        <v>1.0212328767437417</v>
      </c>
      <c r="H46">
        <f t="shared" si="0"/>
        <v>1</v>
      </c>
      <c r="I46">
        <f t="shared" si="7"/>
        <v>4.7478155756881121E-2</v>
      </c>
      <c r="J46">
        <f t="shared" si="1"/>
        <v>3.3502536325081211E-2</v>
      </c>
    </row>
    <row r="47" spans="1:10" x14ac:dyDescent="0.25">
      <c r="A47">
        <v>0.9</v>
      </c>
      <c r="B47">
        <f>[1]!INTERPOLATE('H121'!$E$48:$BJ$48, 'H121'!$E$49:$BJ$49, A47)</f>
        <v>1</v>
      </c>
      <c r="C47">
        <f>[1]!INTERPOLATE('H401'!$E$48:$BH$48, 'H401'!$E$49:$BH$49, A47)</f>
        <v>1</v>
      </c>
      <c r="D47">
        <f>[1]!INTERPOLATE('H403'!$E$48:$CQ$48, 'H403'!$E$49:$CQ$49, A47)</f>
        <v>1</v>
      </c>
      <c r="E47">
        <f>[1]!INTERPOLATE('H404'!$E$48:$CC$48, 'H404'!$E$49:$CC$49, A47)</f>
        <v>1.1061643837187092</v>
      </c>
      <c r="F47">
        <f>[1]!INTERPOLATE('H602'!$E$48:$BI$48, 'H602'!$E$49:$BI$49, A47)</f>
        <v>1</v>
      </c>
      <c r="G47" s="8">
        <f t="shared" si="6"/>
        <v>1.0212328767437417</v>
      </c>
      <c r="H47">
        <f t="shared" si="0"/>
        <v>1</v>
      </c>
      <c r="I47">
        <f t="shared" si="7"/>
        <v>4.7478155756881121E-2</v>
      </c>
      <c r="J47">
        <f t="shared" si="1"/>
        <v>3.0068058683276541E-2</v>
      </c>
    </row>
    <row r="48" spans="1:10" x14ac:dyDescent="0.25">
      <c r="A48">
        <v>0.92</v>
      </c>
      <c r="B48">
        <f>[1]!INTERPOLATE('H121'!$E$48:$BJ$48, 'H121'!$E$49:$BJ$49, A48)</f>
        <v>1</v>
      </c>
      <c r="C48">
        <f>[1]!INTERPOLATE('H401'!$E$48:$BH$48, 'H401'!$E$49:$BH$49, A48)</f>
        <v>1</v>
      </c>
      <c r="D48">
        <f>[1]!INTERPOLATE('H403'!$E$48:$CQ$48, 'H403'!$E$49:$CQ$49, A48)</f>
        <v>1</v>
      </c>
      <c r="E48">
        <f>[1]!INTERPOLATE('H404'!$E$48:$CC$48, 'H404'!$E$49:$CC$49, A48)</f>
        <v>1.0859447783755507</v>
      </c>
      <c r="F48">
        <f>[1]!INTERPOLATE('H602'!$E$48:$BI$48, 'H602'!$E$49:$BI$49, A48)</f>
        <v>1</v>
      </c>
      <c r="G48" s="8">
        <f t="shared" si="6"/>
        <v>1.0171889556751101</v>
      </c>
      <c r="H48">
        <f t="shared" si="0"/>
        <v>1</v>
      </c>
      <c r="I48">
        <f t="shared" si="7"/>
        <v>3.8435673351777062E-2</v>
      </c>
      <c r="J48">
        <f t="shared" si="1"/>
        <v>2.6774841860498194E-2</v>
      </c>
    </row>
    <row r="49" spans="1:10" x14ac:dyDescent="0.25">
      <c r="A49">
        <v>0.94</v>
      </c>
      <c r="B49">
        <f>[1]!INTERPOLATE('H121'!$E$48:$BJ$48, 'H121'!$E$49:$BJ$49, A49)</f>
        <v>1</v>
      </c>
      <c r="C49">
        <f>[1]!INTERPOLATE('H401'!$E$48:$BH$48, 'H401'!$E$49:$BH$49, A49)</f>
        <v>1</v>
      </c>
      <c r="D49">
        <f>[1]!INTERPOLATE('H403'!$E$48:$CQ$48, 'H403'!$E$49:$CQ$49, A49)</f>
        <v>1</v>
      </c>
      <c r="E49">
        <f>[1]!INTERPOLATE('H404'!$E$48:$CC$48, 'H404'!$E$49:$CC$49, A49)</f>
        <v>1.0649597470354366</v>
      </c>
      <c r="F49">
        <f>[1]!INTERPOLATE('H602'!$E$48:$BI$48, 'H602'!$E$49:$BI$49, A49)</f>
        <v>1</v>
      </c>
      <c r="G49" s="8">
        <f t="shared" si="6"/>
        <v>1.0129919494070871</v>
      </c>
      <c r="H49">
        <f t="shared" si="0"/>
        <v>1</v>
      </c>
      <c r="I49">
        <f t="shared" si="7"/>
        <v>2.9050882034485342E-2</v>
      </c>
      <c r="J49">
        <f t="shared" si="1"/>
        <v>2.3617075768263107E-2</v>
      </c>
    </row>
    <row r="50" spans="1:10" x14ac:dyDescent="0.25">
      <c r="A50">
        <v>0.96</v>
      </c>
      <c r="B50">
        <f>[1]!INTERPOLATE('H121'!$E$48:$BJ$48, 'H121'!$E$49:$BJ$49, A50)</f>
        <v>1</v>
      </c>
      <c r="C50">
        <f>[1]!INTERPOLATE('H401'!$E$48:$BH$48, 'H401'!$E$49:$BH$49, A50)</f>
        <v>1</v>
      </c>
      <c r="D50">
        <f>[1]!INTERPOLATE('H403'!$E$48:$CQ$48, 'H403'!$E$49:$CQ$49, A50)</f>
        <v>1</v>
      </c>
      <c r="E50">
        <f>[1]!INTERPOLATE('H404'!$E$48:$CC$48, 'H404'!$E$49:$CC$49, A50)</f>
        <v>1.0316762341058763</v>
      </c>
      <c r="F50">
        <f>[1]!INTERPOLATE('H602'!$E$48:$BI$48, 'H602'!$E$49:$BI$49, A50)</f>
        <v>1</v>
      </c>
      <c r="G50" s="8">
        <f t="shared" si="6"/>
        <v>1.0063352468211753</v>
      </c>
      <c r="H50">
        <f t="shared" si="0"/>
        <v>1</v>
      </c>
      <c r="I50">
        <f t="shared" si="7"/>
        <v>1.4166042546387326E-2</v>
      </c>
      <c r="J50">
        <f t="shared" si="1"/>
        <v>2.0589189288302417E-2</v>
      </c>
    </row>
    <row r="51" spans="1:10" x14ac:dyDescent="0.25">
      <c r="A51">
        <v>0.98</v>
      </c>
      <c r="B51">
        <f>[1]!INTERPOLATE('H121'!$E$48:$BJ$48, 'H121'!$E$49:$BJ$49, A51)</f>
        <v>1</v>
      </c>
      <c r="C51">
        <f>[1]!INTERPOLATE('H401'!$E$48:$BH$48, 'H401'!$E$49:$BH$49, A51)</f>
        <v>1</v>
      </c>
      <c r="D51">
        <f>[1]!INTERPOLATE('H403'!$E$48:$CQ$48, 'H403'!$E$49:$CQ$49, A51)</f>
        <v>1</v>
      </c>
      <c r="E51">
        <f>[1]!INTERPOLATE('H404'!$E$48:$CC$48, 'H404'!$E$49:$CC$49, A51)</f>
        <v>1.0290818455461541</v>
      </c>
      <c r="F51">
        <f>[1]!INTERPOLATE('H602'!$E$48:$BI$48, 'H602'!$E$49:$BI$49, A51)</f>
        <v>1</v>
      </c>
      <c r="G51" s="8">
        <f t="shared" si="6"/>
        <v>1.0058163691092308</v>
      </c>
      <c r="H51">
        <f t="shared" si="0"/>
        <v>1</v>
      </c>
      <c r="I51">
        <f t="shared" si="7"/>
        <v>1.3005796710470021E-2</v>
      </c>
      <c r="J51">
        <f t="shared" si="1"/>
        <v>1.7685840443664128E-2</v>
      </c>
    </row>
    <row r="52" spans="1:10" x14ac:dyDescent="0.25">
      <c r="A52">
        <v>1</v>
      </c>
      <c r="B52">
        <f>[1]!INTERPOLATE('H121'!$E$48:$BJ$48, 'H121'!$E$49:$BJ$49, A52)</f>
        <v>1</v>
      </c>
      <c r="C52">
        <f>[1]!INTERPOLATE('H401'!$E$48:$BH$48, 'H401'!$E$49:$BH$49, A52)</f>
        <v>1</v>
      </c>
      <c r="D52">
        <f>[1]!INTERPOLATE('H403'!$E$48:$CQ$48, 'H403'!$E$49:$CQ$49, A52)</f>
        <v>1</v>
      </c>
      <c r="E52">
        <f>[1]!INTERPOLATE('H404'!$E$48:$CC$48, 'H404'!$E$49:$CC$49, A52)</f>
        <v>1.012539184969959</v>
      </c>
      <c r="F52">
        <f>[1]!INTERPOLATE('H602'!$E$48:$BI$48, 'H602'!$E$49:$BI$49, A52)</f>
        <v>1</v>
      </c>
      <c r="G52" s="8">
        <f t="shared" si="6"/>
        <v>1.0025078369939917</v>
      </c>
      <c r="H52">
        <f t="shared" si="0"/>
        <v>1</v>
      </c>
      <c r="I52">
        <f t="shared" si="7"/>
        <v>5.6076939950543891E-3</v>
      </c>
      <c r="J52">
        <f t="shared" si="1"/>
        <v>1.4901906974080406E-2</v>
      </c>
    </row>
    <row r="53" spans="1:10" x14ac:dyDescent="0.25">
      <c r="A53">
        <v>1.02</v>
      </c>
      <c r="B53">
        <f>[1]!INTERPOLATE('H121'!$E$48:$BJ$48, 'H121'!$E$49:$BJ$49, A53)</f>
        <v>1</v>
      </c>
      <c r="C53">
        <f>[1]!INTERPOLATE('H401'!$E$48:$BH$48, 'H401'!$E$49:$BH$49, A53)</f>
        <v>1</v>
      </c>
      <c r="D53">
        <f>[1]!INTERPOLATE('H403'!$E$48:$CQ$48, 'H403'!$E$49:$CQ$49, A53)</f>
        <v>1</v>
      </c>
      <c r="E53">
        <f>[1]!INTERPOLATE('H404'!$E$48:$CC$48, 'H404'!$E$49:$CC$49, A53)</f>
        <v>1.012539184969959</v>
      </c>
      <c r="F53">
        <f>[1]!INTERPOLATE('H602'!$E$48:$BI$48, 'H602'!$E$49:$BI$49, A53)</f>
        <v>1</v>
      </c>
      <c r="G53" s="8">
        <f t="shared" si="6"/>
        <v>1.0025078369939917</v>
      </c>
      <c r="H53">
        <f t="shared" si="0"/>
        <v>1</v>
      </c>
      <c r="I53">
        <f t="shared" si="7"/>
        <v>5.6076939950543891E-3</v>
      </c>
      <c r="J53">
        <f t="shared" si="1"/>
        <v>1.2232477298972269E-2</v>
      </c>
    </row>
    <row r="54" spans="1:10" x14ac:dyDescent="0.25">
      <c r="A54">
        <v>1.04</v>
      </c>
      <c r="B54">
        <f>[1]!INTERPOLATE('H121'!$E$48:$BJ$48, 'H121'!$E$49:$BJ$49, A54)</f>
        <v>1</v>
      </c>
      <c r="C54">
        <f>[1]!INTERPOLATE('H401'!$E$48:$BH$48, 'H401'!$E$49:$BH$49, A54)</f>
        <v>1</v>
      </c>
      <c r="D54">
        <f>[1]!INTERPOLATE('H403'!$E$48:$CQ$48, 'H403'!$E$49:$CQ$49, A54)</f>
        <v>1</v>
      </c>
      <c r="E54">
        <f>[1]!INTERPOLATE('H404'!$E$48:$CC$48, 'H404'!$E$49:$CC$49, A54)</f>
        <v>1.0031055900662784</v>
      </c>
      <c r="F54">
        <f>[1]!INTERPOLATE('H602'!$E$48:$BI$48, 'H602'!$E$49:$BI$49, A54)</f>
        <v>1</v>
      </c>
      <c r="G54" s="8">
        <f t="shared" si="6"/>
        <v>1.0006211180132556</v>
      </c>
      <c r="H54">
        <f t="shared" si="0"/>
        <v>1</v>
      </c>
      <c r="I54">
        <f t="shared" si="7"/>
        <v>1.3888620996893243E-3</v>
      </c>
      <c r="J54">
        <f t="shared" si="1"/>
        <v>9.6728418521476733E-3</v>
      </c>
    </row>
    <row r="55" spans="1:10" x14ac:dyDescent="0.25">
      <c r="A55">
        <v>1.06</v>
      </c>
      <c r="B55">
        <f>[1]!INTERPOLATE('H121'!$E$48:$BJ$48, 'H121'!$E$49:$BJ$49, A55)</f>
        <v>1</v>
      </c>
      <c r="C55">
        <f>[1]!INTERPOLATE('H401'!$E$48:$BH$48, 'H401'!$E$49:$BH$49, A55)</f>
        <v>1</v>
      </c>
      <c r="D55">
        <f>[1]!INTERPOLATE('H403'!$E$48:$CQ$48, 'H403'!$E$49:$CQ$49, A55)</f>
        <v>1</v>
      </c>
      <c r="E55">
        <f>[1]!INTERPOLATE('H404'!$E$48:$CC$48, 'H404'!$E$49:$CC$49, A55)</f>
        <v>1.0023904612085253</v>
      </c>
      <c r="F55">
        <f>[1]!INTERPOLATE('H602'!$E$48:$BI$48, 'H602'!$E$49:$BI$49, A55)</f>
        <v>1</v>
      </c>
      <c r="G55" s="8">
        <f t="shared" si="6"/>
        <v>1.0004780922417051</v>
      </c>
      <c r="H55">
        <f t="shared" si="0"/>
        <v>1</v>
      </c>
      <c r="I55">
        <f t="shared" si="7"/>
        <v>1.0690467519677575E-3</v>
      </c>
      <c r="J55">
        <f t="shared" si="1"/>
        <v>7.2184847729054036E-3</v>
      </c>
    </row>
    <row r="56" spans="1:10" x14ac:dyDescent="0.25">
      <c r="A56">
        <v>1.08</v>
      </c>
      <c r="B56">
        <f>[1]!INTERPOLATE('H121'!$E$48:$BJ$48, 'H121'!$E$49:$BJ$49, A56)</f>
        <v>1</v>
      </c>
      <c r="C56">
        <f>[1]!INTERPOLATE('H401'!$E$48:$BH$48, 'H401'!$E$49:$BH$49, A56)</f>
        <v>1</v>
      </c>
      <c r="D56">
        <f>[1]!INTERPOLATE('H403'!$E$48:$CQ$48, 'H403'!$E$49:$CQ$49, A56)</f>
        <v>1</v>
      </c>
      <c r="E56">
        <f>[1]!INTERPOLATE('H404'!$E$48:$CC$48, 'H404'!$E$49:$CC$49, A56)</f>
        <v>1.001286391067044</v>
      </c>
      <c r="F56">
        <f>[1]!INTERPOLATE('H602'!$E$48:$BI$48, 'H602'!$E$49:$BI$49, A56)</f>
        <v>1</v>
      </c>
      <c r="G56" s="8">
        <f t="shared" si="6"/>
        <v>1.0002572782134087</v>
      </c>
      <c r="H56">
        <f t="shared" si="0"/>
        <v>1</v>
      </c>
      <c r="I56">
        <f t="shared" si="7"/>
        <v>5.7529157431176548E-4</v>
      </c>
      <c r="J56">
        <f t="shared" si="1"/>
        <v>4.8650759388858614E-3</v>
      </c>
    </row>
    <row r="57" spans="1:10" x14ac:dyDescent="0.25">
      <c r="A57">
        <v>1.1000000000000001</v>
      </c>
      <c r="B57">
        <f>[1]!INTERPOLATE('H121'!$E$48:$BJ$48, 'H121'!$E$49:$BJ$49, A57)</f>
        <v>1</v>
      </c>
      <c r="C57">
        <f>[1]!INTERPOLATE('H401'!$E$48:$BH$48, 'H401'!$E$49:$BH$49, A57)</f>
        <v>1</v>
      </c>
      <c r="D57">
        <f>[1]!INTERPOLATE('H403'!$E$48:$CQ$48, 'H403'!$E$49:$CQ$49, A57)</f>
        <v>1</v>
      </c>
      <c r="E57">
        <f>[1]!INTERPOLATE('H404'!$E$48:$CC$48, 'H404'!$E$49:$CC$49, A57)</f>
        <v>1.0001823209255625</v>
      </c>
      <c r="F57">
        <f>[1]!INTERPOLATE('H602'!$E$48:$BI$48, 'H602'!$E$49:$BI$49, A57)</f>
        <v>1</v>
      </c>
      <c r="G57" s="8">
        <f t="shared" si="6"/>
        <v>1.0000364641851125</v>
      </c>
      <c r="H57">
        <f t="shared" si="0"/>
        <v>1</v>
      </c>
      <c r="I57">
        <f t="shared" si="7"/>
        <v>8.1536396655674005E-5</v>
      </c>
      <c r="J57">
        <f t="shared" si="1"/>
        <v>0</v>
      </c>
    </row>
    <row r="58" spans="1:10" x14ac:dyDescent="0.25">
      <c r="A58">
        <v>1.1200000000000001</v>
      </c>
      <c r="B58">
        <f>[1]!INTERPOLATE('H121'!$E$48:$BJ$48, 'H121'!$E$49:$BJ$49, A58)</f>
        <v>1</v>
      </c>
      <c r="C58">
        <f>[1]!INTERPOLATE('H401'!$E$48:$BH$48, 'H401'!$E$49:$BH$49, A58)</f>
        <v>1</v>
      </c>
      <c r="D58">
        <f>[1]!INTERPOLATE('H403'!$E$48:$CQ$48, 'H403'!$E$49:$CQ$49, A58)</f>
        <v>1</v>
      </c>
      <c r="E58">
        <f>[1]!INTERPOLATE('H404'!$E$48:$CC$48, 'H404'!$E$49:$CC$49, A58)</f>
        <v>1</v>
      </c>
      <c r="F58">
        <f>[1]!INTERPOLATE('H602'!$E$48:$BI$48, 'H602'!$E$49:$BI$49, A58)</f>
        <v>1</v>
      </c>
      <c r="G58" s="8">
        <f t="shared" si="6"/>
        <v>1</v>
      </c>
      <c r="H58">
        <f t="shared" si="0"/>
        <v>1</v>
      </c>
      <c r="I58">
        <f t="shared" si="7"/>
        <v>0</v>
      </c>
      <c r="J58">
        <f t="shared" si="1"/>
        <v>0</v>
      </c>
    </row>
    <row r="59" spans="1:10" x14ac:dyDescent="0.25">
      <c r="A59">
        <v>1.1399999999999999</v>
      </c>
      <c r="B59">
        <f>[1]!INTERPOLATE('H121'!$E$48:$BJ$48, 'H121'!$E$49:$BJ$49, A59)</f>
        <v>1</v>
      </c>
      <c r="C59">
        <f>[1]!INTERPOLATE('H401'!$E$48:$BH$48, 'H401'!$E$49:$BH$49, A59)</f>
        <v>1</v>
      </c>
      <c r="D59">
        <f>[1]!INTERPOLATE('H403'!$E$48:$CQ$48, 'H403'!$E$49:$CQ$49, A59)</f>
        <v>1</v>
      </c>
      <c r="E59">
        <f>[1]!INTERPOLATE('H404'!$E$48:$CC$48, 'H404'!$E$49:$CC$49, A59)</f>
        <v>1</v>
      </c>
      <c r="F59">
        <f>[1]!INTERPOLATE('H602'!$E$48:$BI$48, 'H602'!$E$49:$BI$49, A59)</f>
        <v>1</v>
      </c>
      <c r="G59" s="8">
        <f t="shared" si="6"/>
        <v>1</v>
      </c>
      <c r="H59">
        <f t="shared" si="0"/>
        <v>1</v>
      </c>
      <c r="I59">
        <f t="shared" si="7"/>
        <v>0</v>
      </c>
      <c r="J59">
        <f t="shared" si="1"/>
        <v>0</v>
      </c>
    </row>
    <row r="60" spans="1:10" x14ac:dyDescent="0.25">
      <c r="A60">
        <v>1.1599999999999999</v>
      </c>
      <c r="B60">
        <f>[1]!INTERPOLATE('H121'!$E$48:$BJ$48, 'H121'!$E$49:$BJ$49, A60)</f>
        <v>1</v>
      </c>
      <c r="C60">
        <f>[1]!INTERPOLATE('H401'!$E$48:$BH$48, 'H401'!$E$49:$BH$49, A60)</f>
        <v>1</v>
      </c>
      <c r="D60">
        <f>[1]!INTERPOLATE('H403'!$E$48:$CQ$48, 'H403'!$E$49:$CQ$49, A60)</f>
        <v>1</v>
      </c>
      <c r="E60">
        <f>[1]!INTERPOLATE('H404'!$E$48:$CC$48, 'H404'!$E$49:$CC$49, A60)</f>
        <v>1</v>
      </c>
      <c r="F60">
        <f>[1]!INTERPOLATE('H602'!$E$48:$BI$48, 'H602'!$E$49:$BI$49, A60)</f>
        <v>1</v>
      </c>
      <c r="G60" s="8">
        <f t="shared" si="6"/>
        <v>1</v>
      </c>
      <c r="H60">
        <f t="shared" si="0"/>
        <v>1</v>
      </c>
      <c r="I60">
        <f t="shared" si="7"/>
        <v>0</v>
      </c>
      <c r="J60">
        <f t="shared" si="1"/>
        <v>0</v>
      </c>
    </row>
    <row r="61" spans="1:10" x14ac:dyDescent="0.25">
      <c r="A61">
        <v>1.18</v>
      </c>
      <c r="B61">
        <f>[1]!INTERPOLATE('H121'!$E$48:$BJ$48, 'H121'!$E$49:$BJ$49, A61)</f>
        <v>1</v>
      </c>
      <c r="C61">
        <f>[1]!INTERPOLATE('H401'!$E$48:$BH$48, 'H401'!$E$49:$BH$49, A61)</f>
        <v>1</v>
      </c>
      <c r="D61">
        <f>[1]!INTERPOLATE('H403'!$E$48:$CQ$48, 'H403'!$E$49:$CQ$49, A61)</f>
        <v>1</v>
      </c>
      <c r="E61">
        <f>[1]!INTERPOLATE('H404'!$E$48:$CC$48, 'H404'!$E$49:$CC$49, A61)</f>
        <v>1</v>
      </c>
      <c r="F61">
        <f>[1]!INTERPOLATE('H602'!$E$48:$BI$48, 'H602'!$E$49:$BI$49, A61)</f>
        <v>1</v>
      </c>
      <c r="G61" s="8">
        <f t="shared" si="6"/>
        <v>1</v>
      </c>
      <c r="H61">
        <f t="shared" si="0"/>
        <v>1</v>
      </c>
      <c r="I61">
        <f t="shared" si="7"/>
        <v>0</v>
      </c>
      <c r="J61">
        <f t="shared" si="1"/>
        <v>0</v>
      </c>
    </row>
    <row r="62" spans="1:10" x14ac:dyDescent="0.25">
      <c r="A62">
        <v>1.2</v>
      </c>
      <c r="B62">
        <f>[1]!INTERPOLATE('H121'!$E$48:$BJ$48, 'H121'!$E$49:$BJ$49, A62)</f>
        <v>1</v>
      </c>
      <c r="C62">
        <f>[1]!INTERPOLATE('H401'!$E$48:$BH$48, 'H401'!$E$49:$BH$49, A62)</f>
        <v>1</v>
      </c>
      <c r="D62">
        <f>[1]!INTERPOLATE('H403'!$E$48:$CQ$48, 'H403'!$E$49:$CQ$49, A62)</f>
        <v>1</v>
      </c>
      <c r="E62">
        <f>[1]!INTERPOLATE('H404'!$E$48:$CC$48, 'H404'!$E$49:$CC$49, A62)</f>
        <v>1</v>
      </c>
      <c r="F62">
        <f>[1]!INTERPOLATE('H602'!$E$48:$BI$48, 'H602'!$E$49:$BI$49, A62)</f>
        <v>1</v>
      </c>
      <c r="G62" s="8">
        <f t="shared" si="6"/>
        <v>1</v>
      </c>
      <c r="H62">
        <f t="shared" si="0"/>
        <v>1</v>
      </c>
      <c r="I62">
        <f t="shared" si="7"/>
        <v>0</v>
      </c>
      <c r="J62">
        <f t="shared" si="1"/>
        <v>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2303-BAEA-44E1-8350-1491CAE9E9D2}">
  <dimension ref="A1:L13"/>
  <sheetViews>
    <sheetView workbookViewId="0"/>
  </sheetViews>
  <sheetFormatPr defaultRowHeight="15" x14ac:dyDescent="0.25"/>
  <cols>
    <col min="1" max="1" width="12.7109375" bestFit="1" customWidth="1"/>
  </cols>
  <sheetData>
    <row r="1" spans="1:12" x14ac:dyDescent="0.25">
      <c r="A1" s="2" t="s">
        <v>50</v>
      </c>
      <c r="B1" s="2" t="s">
        <v>8</v>
      </c>
      <c r="C1" s="2" t="s">
        <v>18</v>
      </c>
      <c r="D1" s="2" t="s">
        <v>15</v>
      </c>
      <c r="E1" s="2" t="s">
        <v>16</v>
      </c>
      <c r="F1" s="2" t="s">
        <v>17</v>
      </c>
      <c r="G1" s="2" t="s">
        <v>14</v>
      </c>
      <c r="H1" s="2" t="s">
        <v>48</v>
      </c>
    </row>
    <row r="2" spans="1:12" x14ac:dyDescent="0.25">
      <c r="A2" t="s">
        <v>43</v>
      </c>
      <c r="B2" s="9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12" x14ac:dyDescent="0.25">
      <c r="A3" t="s">
        <v>46</v>
      </c>
      <c r="B3" s="9">
        <f>B2+4.9</f>
        <v>34.9</v>
      </c>
      <c r="C3" s="8">
        <f>[1]!INTERPOLATE('H121'!E$25:BJ$25,'H121'!E$48:BJ$48, B3)</f>
        <v>4.3280507038097066E-3</v>
      </c>
      <c r="D3" s="8">
        <f>[1]!INTERPOLATE('H401'!$E$25:$BH$25, 'H401'!$E$48:$BH$48, B3)</f>
        <v>1.5922771636919934E-3</v>
      </c>
      <c r="E3" s="8">
        <f>[1]!INTERPOLATE('H403'!$E$25:$CQ$25, 'H403'!$E$48:$CQ$48, B3)</f>
        <v>2.1860773386757786E-3</v>
      </c>
      <c r="F3" s="8">
        <f>[1]!INTERPOLATE('H404'!$E$25:$CC$25, 'H404'!$E$48:$CC$48, B3)</f>
        <v>1.7161140810843635E-3</v>
      </c>
      <c r="G3" s="8">
        <f>[1]!INTERPOLATE('H602'!$E$25:$BI$25, 'H602'!$E$48:$BI$48, B3)</f>
        <v>9.9201959549620328E-3</v>
      </c>
      <c r="H3" s="8">
        <f t="shared" ref="H3:H6" si="0">AVERAGE(C3:G3)</f>
        <v>3.9485430484447748E-3</v>
      </c>
      <c r="J3" s="2" t="s">
        <v>51</v>
      </c>
      <c r="K3" s="2" t="s">
        <v>52</v>
      </c>
      <c r="L3" s="2" t="s">
        <v>53</v>
      </c>
    </row>
    <row r="4" spans="1:12" x14ac:dyDescent="0.25">
      <c r="A4" t="s">
        <v>44</v>
      </c>
      <c r="B4" s="9">
        <f>B3+38.1</f>
        <v>73</v>
      </c>
      <c r="C4" s="8">
        <f>[1]!INTERPOLATE('H121'!E$25:BJ$25,'H121'!E$48:BJ$48, B4)</f>
        <v>6.8798838442835963E-2</v>
      </c>
      <c r="D4" s="8">
        <f>[1]!INTERPOLATE('H401'!$E$25:$BH$25, 'H401'!$E$48:$BH$48, B4)</f>
        <v>5.7737560572203091E-2</v>
      </c>
      <c r="E4" s="8">
        <f>[1]!INTERPOLATE('H403'!$E$25:$CQ$25, 'H403'!$E$48:$CQ$48, B4)</f>
        <v>1.9183943992460921E-2</v>
      </c>
      <c r="F4" s="8">
        <f>[1]!INTERPOLATE('H404'!$E$25:$CC$25, 'H404'!$E$48:$CC$48, B4)</f>
        <v>9.802117668625536E-3</v>
      </c>
      <c r="G4" s="8">
        <f>[1]!INTERPOLATE('H602'!$E$25:$BI$25, 'H602'!$E$48:$BI$48, B4)</f>
        <v>1.5696072739922292E-2</v>
      </c>
      <c r="H4" s="8">
        <f t="shared" si="0"/>
        <v>3.4243706683209564E-2</v>
      </c>
      <c r="J4" s="3">
        <f>IF(H4&lt;0.85, 1.5*EXP(-3*H4)+0.88, 1)</f>
        <v>2.2335543549258645</v>
      </c>
      <c r="K4" s="8">
        <f>IF(H4&lt;1.1, 0.53*EXP(-2.1*H4)-0.05, 0)</f>
        <v>0.44322488317000258</v>
      </c>
      <c r="L4" s="8">
        <f>K4/J4</f>
        <v>0.19843926439153703</v>
      </c>
    </row>
    <row r="5" spans="1:12" x14ac:dyDescent="0.25">
      <c r="A5" t="s">
        <v>45</v>
      </c>
      <c r="B5" s="9">
        <f>30+4.9+1.2*38.1</f>
        <v>80.62</v>
      </c>
      <c r="C5" s="8">
        <f>[1]!INTERPOLATE('H121'!E$25:BJ$25,'H121'!E$48:BJ$48, B5)</f>
        <v>6.8798838442835963E-2</v>
      </c>
      <c r="D5" s="8">
        <f>[1]!INTERPOLATE('H401'!$E$25:$BH$25, 'H401'!$E$48:$BH$48, B5)</f>
        <v>5.7939771877004241E-2</v>
      </c>
      <c r="E5" s="8">
        <f>[1]!INTERPOLATE('H403'!$E$25:$CQ$25, 'H403'!$E$48:$CQ$48, B5)</f>
        <v>2.258351732321795E-2</v>
      </c>
      <c r="F5" s="8">
        <f>[1]!INTERPOLATE('H404'!$E$25:$CC$25, 'H404'!$E$48:$CC$48, B5)</f>
        <v>9.9414340313125557E-3</v>
      </c>
      <c r="G5" s="8">
        <f>[1]!INTERPOLATE('H602'!$E$25:$BI$25, 'H602'!$E$48:$BI$48, B5)</f>
        <v>2.9181985407347004E-2</v>
      </c>
      <c r="H5" s="8">
        <f t="shared" si="0"/>
        <v>3.7689109416343548E-2</v>
      </c>
      <c r="J5" s="3">
        <f t="shared" ref="J5:J7" si="1">IF(H5&lt;0.85, 1.5*EXP(-3*H5)+0.88, 1)</f>
        <v>2.2196357918054073</v>
      </c>
      <c r="K5" s="8">
        <f t="shared" ref="K5:K7" si="2">IF(H5&lt;1.1, 0.53*EXP(-2.1*H5)-0.05, 0)</f>
        <v>0.43966910975005108</v>
      </c>
      <c r="L5" s="8">
        <f t="shared" ref="L5:L7" si="3">K5/J5</f>
        <v>0.19808164536418518</v>
      </c>
    </row>
    <row r="6" spans="1:12" x14ac:dyDescent="0.25">
      <c r="A6" t="s">
        <v>47</v>
      </c>
      <c r="B6" s="9">
        <f>30+4.9+1.4*38.1</f>
        <v>88.24</v>
      </c>
      <c r="C6" s="8">
        <f>[1]!INTERPOLATE('H121'!E$25:BJ$25,'H121'!E$48:BJ$48, B6)</f>
        <v>6.8798838442835963E-2</v>
      </c>
      <c r="D6" s="8">
        <f>[1]!INTERPOLATE('H401'!$E$25:$BH$25, 'H401'!$E$48:$BH$48, B6)</f>
        <v>7.0780189731876664E-2</v>
      </c>
      <c r="E6" s="8">
        <f>[1]!INTERPOLATE('H403'!$E$25:$CQ$25, 'H403'!$E$48:$CQ$48, B6)</f>
        <v>2.5983090653974975E-2</v>
      </c>
      <c r="F6" s="8">
        <f>[1]!INTERPOLATE('H404'!$E$25:$CC$25, 'H404'!$E$48:$CC$48, B6)</f>
        <v>1.5679218919809099E-2</v>
      </c>
      <c r="G6" s="8">
        <f>[1]!INTERPOLATE('H602'!$E$25:$BI$25, 'H602'!$E$48:$BI$48, B6)</f>
        <v>5.8118529715577308E-2</v>
      </c>
      <c r="H6" s="8">
        <f t="shared" si="0"/>
        <v>4.7871973492814801E-2</v>
      </c>
      <c r="J6" s="3">
        <f t="shared" si="1"/>
        <v>2.1793305725289902</v>
      </c>
      <c r="K6" s="8">
        <f t="shared" si="2"/>
        <v>0.42930918158063119</v>
      </c>
      <c r="L6" s="8">
        <f t="shared" si="3"/>
        <v>0.19699130870377415</v>
      </c>
    </row>
    <row r="7" spans="1:12" x14ac:dyDescent="0.25">
      <c r="A7" t="s">
        <v>49</v>
      </c>
      <c r="B7" s="9">
        <f>30+4.9+1.6*38.1</f>
        <v>95.860000000000014</v>
      </c>
      <c r="C7" s="8">
        <f>[1]!INTERPOLATE('H121'!E$25:BJ$25,'H121'!E$48:BJ$48, B7)</f>
        <v>6.8798838442835963E-2</v>
      </c>
      <c r="D7" s="8">
        <f>[1]!INTERPOLATE('H401'!$E$25:$BH$25, 'H401'!$E$48:$BH$48, B7)</f>
        <v>0.13544185157844521</v>
      </c>
      <c r="E7" s="8">
        <f>[1]!INTERPOLATE('H403'!$E$25:$CQ$25, 'H403'!$E$48:$CQ$48, B7)</f>
        <v>0.15763999960413358</v>
      </c>
      <c r="F7" s="8">
        <f>[1]!INTERPOLATE('H404'!$E$25:$CC$25, 'H404'!$E$48:$CC$48, B7)</f>
        <v>3.171021719751043E-2</v>
      </c>
      <c r="G7" s="8">
        <f>[1]!INTERPOLATE('H602'!$E$25:$BI$25, 'H602'!$E$48:$BI$48, B7)</f>
        <v>8.7055074023807716E-2</v>
      </c>
      <c r="H7" s="8">
        <f>AVERAGE(C7:G7)</f>
        <v>9.6129196169346592E-2</v>
      </c>
      <c r="J7" s="3">
        <f t="shared" si="1"/>
        <v>2.0042065743568851</v>
      </c>
      <c r="K7" s="8">
        <f t="shared" si="2"/>
        <v>0.38311604508003327</v>
      </c>
      <c r="L7" s="8">
        <f t="shared" si="3"/>
        <v>0.1911559666462867</v>
      </c>
    </row>
    <row r="8" spans="1:12" x14ac:dyDescent="0.25">
      <c r="A8" t="s">
        <v>54</v>
      </c>
      <c r="B8">
        <f>30+4.9+1.8*38.1</f>
        <v>103.47999999999999</v>
      </c>
      <c r="C8" s="8">
        <f>[1]!INTERPOLATE('H121'!E$25:BJ$25,'H121'!E$48:BJ$48, B8)</f>
        <v>7.394478782471392E-2</v>
      </c>
      <c r="D8" s="8">
        <f>[1]!INTERPOLATE('H401'!$E$25:$BH$25, 'H401'!$E$48:$BH$48, B8)</f>
        <v>0.17421677902077565</v>
      </c>
      <c r="E8" s="8">
        <f>[1]!INTERPOLATE('H403'!$E$25:$CQ$25, 'H403'!$E$48:$CQ$48, B8)</f>
        <v>0.24402456471692827</v>
      </c>
      <c r="F8" s="8">
        <f>[1]!INTERPOLATE('H404'!$E$25:$CC$25, 'H404'!$E$48:$CC$48, B8)</f>
        <v>5.1892060119555453E-2</v>
      </c>
      <c r="G8" s="8">
        <f>[1]!INTERPOLATE('H602'!$E$25:$BI$25, 'H602'!$E$48:$BI$48, B8)</f>
        <v>0.25575206259822697</v>
      </c>
      <c r="H8" s="8">
        <f>AVERAGE(C8:G8)</f>
        <v>0.15996605085604004</v>
      </c>
      <c r="J8" s="3">
        <f t="shared" ref="J8" si="4">IF(H8&lt;0.85, 1.5*EXP(-3*H8)+0.88, 1)</f>
        <v>1.8082696247723262</v>
      </c>
      <c r="K8" s="8">
        <f t="shared" ref="K8" si="5">IF(H8&lt;1.1, 0.53*EXP(-2.1*H8)-0.05, 0)</f>
        <v>0.32877724936299529</v>
      </c>
      <c r="L8" s="8">
        <f t="shared" ref="L8" si="6">K8/J8</f>
        <v>0.18181870936663588</v>
      </c>
    </row>
    <row r="9" spans="1:12" x14ac:dyDescent="0.25">
      <c r="A9" s="2"/>
      <c r="B9" s="2"/>
      <c r="C9" s="2"/>
      <c r="D9" s="2"/>
      <c r="E9" s="2"/>
    </row>
    <row r="10" spans="1:12" x14ac:dyDescent="0.25">
      <c r="B10" s="9"/>
      <c r="C10" s="8"/>
      <c r="D10" s="3"/>
      <c r="E10" s="8"/>
    </row>
    <row r="11" spans="1:12" x14ac:dyDescent="0.25">
      <c r="B11" s="9"/>
      <c r="C11" s="8"/>
      <c r="D11" s="3"/>
      <c r="E11" s="8"/>
    </row>
    <row r="12" spans="1:12" x14ac:dyDescent="0.25">
      <c r="B12" s="9"/>
      <c r="C12" s="8"/>
      <c r="D12" s="3"/>
      <c r="E12" s="8"/>
    </row>
    <row r="13" spans="1:12" x14ac:dyDescent="0.25">
      <c r="B13" s="9"/>
      <c r="C13" s="8"/>
      <c r="D13" s="3"/>
      <c r="E13" s="8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MVd H121</vt:lpstr>
      <vt:lpstr>MVd H401</vt:lpstr>
      <vt:lpstr>MVd H403</vt:lpstr>
      <vt:lpstr>MVd H404</vt:lpstr>
      <vt:lpstr>MVd H602</vt:lpstr>
      <vt:lpstr>H121</vt:lpstr>
      <vt:lpstr>H401</vt:lpstr>
      <vt:lpstr>H403</vt:lpstr>
      <vt:lpstr>H404</vt:lpstr>
      <vt:lpstr>H602</vt:lpstr>
      <vt:lpstr>Curves</vt:lpstr>
      <vt:lpstr>w_max</vt:lpstr>
      <vt:lpstr>w_max_w</vt:lpstr>
      <vt:lpstr>Expected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Zarate Garnica</dc:creator>
  <cp:lastModifiedBy>Vries, R. (Rein) de</cp:lastModifiedBy>
  <dcterms:created xsi:type="dcterms:W3CDTF">2023-02-23T12:33:23Z</dcterms:created>
  <dcterms:modified xsi:type="dcterms:W3CDTF">2025-10-19T14:13:47Z</dcterms:modified>
</cp:coreProperties>
</file>